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X funds" sheetId="1" state="visible" r:id="rId1"/>
    <sheet xmlns:r="http://schemas.openxmlformats.org/officeDocument/2006/relationships" name="Why not green" sheetId="2" state="visible" r:id="rId2"/>
  </sheets>
  <definedNames>
    <definedName name="_xlnm._FilterDatabase" localSheetId="0" hidden="1">'ASX funds'!$A$5:$Q$103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D6EADF"/>
      </patternFill>
    </fill>
    <fill>
      <patternFill patternType="solid">
        <fgColor rgb="00FBF0D9"/>
      </patternFill>
    </fill>
    <fill>
      <patternFill patternType="solid">
        <fgColor rgb="00F7DD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" fontId="4" fillId="0" borderId="1" pivotButton="0" quotePrefix="0" xfId="0"/>
    <xf numFmtId="165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coverage audit</author>
  </authors>
  <commentList>
    <comment ref="J5" authorId="0" shapeId="0">
      <text>
        <t>Our estimated uncertainty in this fund's NAV. The Z score is voided when the discount's distance from its own average is smaller than this. Median by source: fund's own published NTA 1.9%, NTA announcement 6.2%, ASX monthly report 12.3%.</t>
      </text>
    </comment>
    <comment ref="M5" authorId="0" shapeId="0">
      <text>
        <t>Error-adjusted Z: how far today's discount sits from this fund's own 36-month average, after allowing for NAV uncertainty. Blank = could not be computed.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10" customWidth="1" min="4" max="4"/>
    <col width="11" customWidth="1" min="5" max="5"/>
    <col width="10" customWidth="1" min="6" max="6"/>
    <col width="12" customWidth="1" min="7" max="7"/>
    <col width="26" customWidth="1" min="8" max="8"/>
    <col width="10" customWidth="1" min="9" max="9"/>
    <col width="10" customWidth="1" min="10" max="10"/>
    <col width="10" customWidth="1" min="11" max="11"/>
    <col width="15" customWidth="1" min="12" max="12"/>
    <col width="9" customWidth="1" min="13" max="13"/>
    <col width="12" customWidth="1" min="14" max="14"/>
    <col width="10" customWidth="1" min="15" max="15"/>
    <col width="46" customWidth="1" min="16" max="16"/>
    <col width="60" customWidth="1" min="17" max="17"/>
  </cols>
  <sheetData>
    <row r="1">
      <c r="A1" s="1" t="inlineStr">
        <is>
          <t>ASX monitoring-eligible funds</t>
        </is>
      </c>
    </row>
    <row r="2">
      <c r="A2" s="2" t="inlineStr">
        <is>
          <t>98 funds · as at 2026-08-31 · GREEN 12 · AMBER 67 · RED 19</t>
        </is>
      </c>
    </row>
    <row r="3">
      <c r="A3" s="2" t="inlineStr">
        <is>
          <t>GREEN = every input present and the signal clears the uncertainty in our own NAV. A blank cell means we hold no value - never a zero. Rows whose NAV jumps implausibly from the fund's own previous figure are forced to RED here, overriding the audit, which predates that check.</t>
        </is>
      </c>
    </row>
    <row r="5" ht="30" customHeight="1">
      <c r="A5" s="3" t="inlineStr">
        <is>
          <t>Ticker</t>
        </is>
      </c>
      <c r="B5" s="3" t="inlineStr">
        <is>
          <t>Fund</t>
        </is>
      </c>
      <c r="C5" s="3" t="inlineStr">
        <is>
          <t>Status</t>
        </is>
      </c>
      <c r="D5" s="3" t="inlineStr">
        <is>
          <t>Price</t>
        </is>
      </c>
      <c r="E5" s="3" t="inlineStr">
        <is>
          <t>Price age (d)</t>
        </is>
      </c>
      <c r="F5" s="3" t="inlineStr">
        <is>
          <t>NAV</t>
        </is>
      </c>
      <c r="G5" s="3" t="inlineStr">
        <is>
          <t>NAV date</t>
        </is>
      </c>
      <c r="H5" s="3" t="inlineStr">
        <is>
          <t>NAV source</t>
        </is>
      </c>
      <c r="I5" s="3" t="inlineStr">
        <is>
          <t>NAV age (d)</t>
        </is>
      </c>
      <c r="J5" s="3" t="inlineStr">
        <is>
          <t>NAV error</t>
        </is>
      </c>
      <c r="K5" s="3" t="inlineStr">
        <is>
          <t>Discount</t>
        </is>
      </c>
      <c r="L5" s="3" t="inlineStr">
        <is>
          <t>Avg discount 36m</t>
        </is>
      </c>
      <c r="M5" s="3" t="inlineStr">
        <is>
          <t>Z score</t>
        </is>
      </c>
      <c r="N5" s="3" t="inlineStr">
        <is>
          <t>Previous NAV</t>
        </is>
      </c>
      <c r="O5" s="3" t="inlineStr">
        <is>
          <t>NAV jump</t>
        </is>
      </c>
      <c r="P5" s="3" t="inlineStr">
        <is>
          <t>Why not green</t>
        </is>
      </c>
      <c r="Q5" s="3" t="inlineStr">
        <is>
          <t>What would fix it</t>
        </is>
      </c>
    </row>
    <row r="6">
      <c r="A6" s="4" t="inlineStr">
        <is>
          <t>ARG</t>
        </is>
      </c>
      <c r="B6" s="5" t="inlineStr">
        <is>
          <t>Argo Investments Limited</t>
        </is>
      </c>
      <c r="C6" s="6" t="inlineStr">
        <is>
          <t>GREEN</t>
        </is>
      </c>
      <c r="D6" s="7" t="n">
        <v>9.310000419616699</v>
      </c>
      <c r="E6" s="8" t="n">
        <v>3</v>
      </c>
      <c r="F6" s="7" t="n">
        <v>10.94</v>
      </c>
      <c r="G6" s="4" t="inlineStr">
        <is>
          <t>2026-08-24</t>
        </is>
      </c>
      <c r="H6" s="4" t="inlineStr">
        <is>
          <t>Fund's own NTA announcement</t>
        </is>
      </c>
      <c r="I6" s="8" t="n">
        <v>5</v>
      </c>
      <c r="J6" s="9" t="n">
        <v>0.02411</v>
      </c>
      <c r="K6" s="9" t="n">
        <v>-0.148994</v>
      </c>
      <c r="L6" s="9" t="n">
        <v>-0.098194</v>
      </c>
      <c r="M6" s="10" t="n">
        <v>-0.9731</v>
      </c>
      <c r="N6" s="7" t="n">
        <v>10.84</v>
      </c>
      <c r="O6" s="9" t="n">
        <v>0.009225092250922476</v>
      </c>
      <c r="P6" s="5" t="inlineStr"/>
      <c r="Q6" s="5" t="n"/>
    </row>
    <row r="7">
      <c r="A7" s="4" t="inlineStr">
        <is>
          <t>AUI</t>
        </is>
      </c>
      <c r="B7" s="5" t="inlineStr">
        <is>
          <t>Australian United Investment Company Limited</t>
        </is>
      </c>
      <c r="C7" s="6" t="inlineStr">
        <is>
          <t>GREEN</t>
        </is>
      </c>
      <c r="D7" s="7" t="n">
        <v>11.6899995803833</v>
      </c>
      <c r="E7" s="8" t="n">
        <v>3</v>
      </c>
      <c r="F7" s="7" t="n">
        <v>14.25</v>
      </c>
      <c r="G7" s="4" t="inlineStr">
        <is>
          <t>2026-08-21</t>
        </is>
      </c>
      <c r="H7" s="4" t="inlineStr">
        <is>
          <t>Fund's own NTA announcement</t>
        </is>
      </c>
      <c r="I7" s="8" t="n">
        <v>6</v>
      </c>
      <c r="J7" s="9" t="n">
        <v>0.027773</v>
      </c>
      <c r="K7" s="9" t="n">
        <v>-0.179649</v>
      </c>
      <c r="L7" s="9" t="n">
        <v>-0.12923</v>
      </c>
      <c r="M7" s="10" t="n">
        <v>-1.0687</v>
      </c>
      <c r="N7" s="7" t="n">
        <v>13.75</v>
      </c>
      <c r="O7" s="9" t="n">
        <v>0.03636363636363636</v>
      </c>
      <c r="P7" s="5" t="inlineStr"/>
      <c r="Q7" s="5" t="n"/>
    </row>
    <row r="8">
      <c r="A8" s="4" t="inlineStr">
        <is>
          <t>CAM</t>
        </is>
      </c>
      <c r="B8" s="5" t="inlineStr">
        <is>
          <t>Clime Capital Limited</t>
        </is>
      </c>
      <c r="C8" s="6" t="inlineStr">
        <is>
          <t>GREEN</t>
        </is>
      </c>
      <c r="D8" s="7" t="n">
        <v>0.6850000023841858</v>
      </c>
      <c r="E8" s="8" t="n">
        <v>3</v>
      </c>
      <c r="F8" s="7" t="n">
        <v>0.825</v>
      </c>
      <c r="G8" s="4" t="inlineStr">
        <is>
          <t>2026-08-19</t>
        </is>
      </c>
      <c r="H8" s="4" t="inlineStr">
        <is>
          <t>Monthly report</t>
        </is>
      </c>
      <c r="I8" s="8" t="n">
        <v>8</v>
      </c>
      <c r="J8" s="9" t="n">
        <v>0.031298</v>
      </c>
      <c r="K8" s="9" t="n">
        <v>-0.169697</v>
      </c>
      <c r="L8" s="9" t="n">
        <v>-0.052216</v>
      </c>
      <c r="M8" s="10" t="n">
        <v>-1.8772</v>
      </c>
      <c r="N8" s="7" t="n">
        <v>0.8225</v>
      </c>
      <c r="O8" s="9" t="n">
        <v>0.003039513677811486</v>
      </c>
      <c r="P8" s="5" t="inlineStr"/>
      <c r="Q8" s="5" t="n"/>
    </row>
    <row r="9">
      <c r="A9" s="4" t="inlineStr">
        <is>
          <t>KAT</t>
        </is>
      </c>
      <c r="B9" s="5" t="inlineStr">
        <is>
          <t>Katana Capital Limited</t>
        </is>
      </c>
      <c r="C9" s="6" t="inlineStr">
        <is>
          <t>GREEN</t>
        </is>
      </c>
      <c r="D9" s="7" t="n">
        <v>1.379999995231628</v>
      </c>
      <c r="E9" s="8" t="n">
        <v>3</v>
      </c>
      <c r="F9" s="7" t="n">
        <v>1.442</v>
      </c>
      <c r="G9" s="4" t="inlineStr">
        <is>
          <t>2026-07-31</t>
        </is>
      </c>
      <c r="H9" s="4" t="inlineStr">
        <is>
          <t>Fund's own NTA announcement</t>
        </is>
      </c>
      <c r="I9" s="8" t="n">
        <v>21</v>
      </c>
      <c r="J9" s="9" t="n">
        <v>0.073726</v>
      </c>
      <c r="K9" s="9" t="n">
        <v>-0.042996</v>
      </c>
      <c r="L9" s="9" t="n">
        <v>-0.122083</v>
      </c>
      <c r="M9" s="10" t="n">
        <v>1.9119</v>
      </c>
      <c r="N9" s="7" t="n">
        <v>1.557</v>
      </c>
      <c r="O9" s="9" t="n">
        <v>0.07385998715478484</v>
      </c>
      <c r="P9" s="5" t="inlineStr"/>
      <c r="Q9" s="5" t="n"/>
    </row>
    <row r="10">
      <c r="A10" s="4" t="inlineStr">
        <is>
          <t>LSX</t>
        </is>
      </c>
      <c r="B10" s="5" t="inlineStr">
        <is>
          <t>Lion Selection Group Limited</t>
        </is>
      </c>
      <c r="C10" s="6" t="inlineStr">
        <is>
          <t>GREEN</t>
        </is>
      </c>
      <c r="D10" s="7" t="n">
        <v>0.9549999833106996</v>
      </c>
      <c r="E10" s="8" t="n">
        <v>3</v>
      </c>
      <c r="F10" s="7" t="n">
        <v>0.967</v>
      </c>
      <c r="G10" s="4" t="inlineStr">
        <is>
          <t>2026-07-31</t>
        </is>
      </c>
      <c r="H10" s="4" t="inlineStr">
        <is>
          <t>Fund's own NTA announcement</t>
        </is>
      </c>
      <c r="I10" s="8" t="n">
        <v>21</v>
      </c>
      <c r="J10" s="9" t="n">
        <v>0.13892</v>
      </c>
      <c r="K10" s="9" t="n">
        <v>-0.01241</v>
      </c>
      <c r="L10" s="9" t="n">
        <v>-0.210529</v>
      </c>
      <c r="M10" s="10" t="n">
        <v>1.9756</v>
      </c>
      <c r="N10" s="7" t="n">
        <v>0.976</v>
      </c>
      <c r="O10" s="9" t="n">
        <v>0.00922131147540973</v>
      </c>
      <c r="P10" s="5" t="inlineStr"/>
      <c r="Q10" s="5" t="n"/>
    </row>
    <row r="11">
      <c r="A11" s="4" t="inlineStr">
        <is>
          <t>MFF</t>
        </is>
      </c>
      <c r="B11" s="5" t="inlineStr">
        <is>
          <t>MFF Capital Investments Limited</t>
        </is>
      </c>
      <c r="C11" s="6" t="inlineStr">
        <is>
          <t>GREEN</t>
        </is>
      </c>
      <c r="D11" s="7" t="n">
        <v>5.400000095367432</v>
      </c>
      <c r="E11" s="8" t="n">
        <v>3</v>
      </c>
      <c r="F11" s="7" t="n">
        <v>5.213</v>
      </c>
      <c r="G11" s="4" t="inlineStr">
        <is>
          <t>2026-08-17</t>
        </is>
      </c>
      <c r="H11" s="4" t="inlineStr">
        <is>
          <t>Fund's own NTA announcement</t>
        </is>
      </c>
      <c r="I11" s="8" t="n">
        <v>10</v>
      </c>
      <c r="J11" s="9" t="n">
        <v>0.059102</v>
      </c>
      <c r="K11" s="9" t="n">
        <v>0.035872</v>
      </c>
      <c r="L11" s="9" t="n">
        <v>-0.104498</v>
      </c>
      <c r="M11" s="10" t="n">
        <v>2.4072</v>
      </c>
      <c r="N11" s="7" t="n">
        <v>4.991</v>
      </c>
      <c r="O11" s="9" t="n">
        <v>0.04448006411540782</v>
      </c>
      <c r="P11" s="5" t="inlineStr"/>
      <c r="Q11" s="5" t="n"/>
    </row>
    <row r="12">
      <c r="A12" s="4" t="inlineStr">
        <is>
          <t>NSC</t>
        </is>
      </c>
      <c r="B12" s="5" t="inlineStr">
        <is>
          <t>Naos Small Cap Opportunities Company Limited</t>
        </is>
      </c>
      <c r="C12" s="6" t="inlineStr">
        <is>
          <t>GREEN</t>
        </is>
      </c>
      <c r="D12" s="7" t="n">
        <v>0.3199999928474426</v>
      </c>
      <c r="E12" s="8" t="n">
        <v>3</v>
      </c>
      <c r="F12" s="7" t="n">
        <v>0.28</v>
      </c>
      <c r="G12" s="4" t="inlineStr">
        <is>
          <t>2026-07-31</t>
        </is>
      </c>
      <c r="H12" s="4" t="inlineStr">
        <is>
          <t>Fund's own NTA announcement</t>
        </is>
      </c>
      <c r="I12" s="8" t="n">
        <v>21</v>
      </c>
      <c r="J12" s="9" t="n">
        <v>0.111527</v>
      </c>
      <c r="K12" s="9" t="n">
        <v>0.142857</v>
      </c>
      <c r="L12" s="9" t="n">
        <v>-0.07772</v>
      </c>
      <c r="M12" s="10" t="n">
        <v>2.1899</v>
      </c>
      <c r="N12" s="7" t="n">
        <v>0.28</v>
      </c>
      <c r="O12" s="9" t="n">
        <v>0</v>
      </c>
      <c r="P12" s="5" t="inlineStr"/>
      <c r="Q12" s="5" t="n"/>
    </row>
    <row r="13">
      <c r="A13" s="4" t="inlineStr">
        <is>
          <t>RYD</t>
        </is>
      </c>
      <c r="B13" s="5" t="inlineStr">
        <is>
          <t>Ryder Capital Limited</t>
        </is>
      </c>
      <c r="C13" s="6" t="inlineStr">
        <is>
          <t>GREEN</t>
        </is>
      </c>
      <c r="D13" s="7" t="n">
        <v>2.119999885559082</v>
      </c>
      <c r="E13" s="8" t="n">
        <v>3</v>
      </c>
      <c r="F13" s="7" t="n">
        <v>2.024</v>
      </c>
      <c r="G13" s="4" t="inlineStr">
        <is>
          <t>2026-08-10</t>
        </is>
      </c>
      <c r="H13" s="4" t="inlineStr">
        <is>
          <t>Fund's own NTA announcement</t>
        </is>
      </c>
      <c r="I13" s="8" t="n">
        <v>15</v>
      </c>
      <c r="J13" s="9" t="n">
        <v>0.07147100000000001</v>
      </c>
      <c r="K13" s="9" t="n">
        <v>0.047431</v>
      </c>
      <c r="L13" s="9" t="n">
        <v>-0.142399</v>
      </c>
      <c r="M13" s="10" t="n">
        <v>3.4352</v>
      </c>
      <c r="N13" s="7" t="n">
        <v>1.9803</v>
      </c>
      <c r="O13" s="9" t="n">
        <v>0.0220673635307782</v>
      </c>
      <c r="P13" s="5" t="inlineStr"/>
      <c r="Q13" s="5" t="n"/>
    </row>
    <row r="14">
      <c r="A14" s="4" t="inlineStr">
        <is>
          <t>SB2</t>
        </is>
      </c>
      <c r="B14" s="5" t="inlineStr">
        <is>
          <t>Salter Brothers Emerging Companies Limited</t>
        </is>
      </c>
      <c r="C14" s="6" t="inlineStr">
        <is>
          <t>GREEN</t>
        </is>
      </c>
      <c r="D14" s="7" t="n">
        <v>0.6225000023841858</v>
      </c>
      <c r="E14" s="8" t="n">
        <v>3</v>
      </c>
      <c r="F14" s="7" t="n">
        <v>0.802</v>
      </c>
      <c r="G14" s="4" t="inlineStr">
        <is>
          <t>2026-07-31</t>
        </is>
      </c>
      <c r="H14" s="4" t="inlineStr">
        <is>
          <t>Fund's own NTA announcement</t>
        </is>
      </c>
      <c r="I14" s="8" t="n">
        <v>21</v>
      </c>
      <c r="J14" s="9" t="n">
        <v>0.038573</v>
      </c>
      <c r="K14" s="9" t="n">
        <v>-0.223815</v>
      </c>
      <c r="L14" s="9" t="n">
        <v>-0.335991</v>
      </c>
      <c r="M14" s="10" t="n">
        <v>1.6214</v>
      </c>
      <c r="N14" s="7" t="n">
        <v>0.8149999999999999</v>
      </c>
      <c r="O14" s="9" t="n">
        <v>0.01595092024539865</v>
      </c>
      <c r="P14" s="5" t="inlineStr"/>
      <c r="Q14" s="5" t="n"/>
    </row>
    <row r="15">
      <c r="A15" s="4" t="inlineStr">
        <is>
          <t>SNC</t>
        </is>
      </c>
      <c r="B15" s="5" t="inlineStr">
        <is>
          <t>Sandon Capital Investments Limited</t>
        </is>
      </c>
      <c r="C15" s="6" t="inlineStr">
        <is>
          <t>GREEN</t>
        </is>
      </c>
      <c r="D15" s="7" t="n">
        <v>0.7300000190734863</v>
      </c>
      <c r="E15" s="8" t="n">
        <v>3</v>
      </c>
      <c r="F15" s="7" t="n">
        <v>0.7439</v>
      </c>
      <c r="G15" s="4" t="inlineStr">
        <is>
          <t>2026-07-31</t>
        </is>
      </c>
      <c r="H15" s="4" t="inlineStr">
        <is>
          <t>Fund's own NTA announcement</t>
        </is>
      </c>
      <c r="I15" s="8" t="n">
        <v>21</v>
      </c>
      <c r="J15" s="9" t="n">
        <v>0.083673</v>
      </c>
      <c r="K15" s="9" t="n">
        <v>-0.018685</v>
      </c>
      <c r="L15" s="9" t="n">
        <v>-0.10989</v>
      </c>
      <c r="M15" s="10" t="n">
        <v>1.493</v>
      </c>
      <c r="N15" s="7" t="n">
        <v>0.7205</v>
      </c>
      <c r="O15" s="9" t="n">
        <v>0.0324774462179042</v>
      </c>
      <c r="P15" s="5" t="inlineStr"/>
      <c r="Q15" s="5" t="n"/>
    </row>
    <row r="16">
      <c r="A16" s="4" t="inlineStr">
        <is>
          <t>TVL</t>
        </is>
      </c>
      <c r="B16" s="5" t="inlineStr">
        <is>
          <t>Touch Ventures Limited</t>
        </is>
      </c>
      <c r="C16" s="6" t="inlineStr">
        <is>
          <t>GREEN</t>
        </is>
      </c>
      <c r="D16" s="7" t="n">
        <v>0.0570000000298023</v>
      </c>
      <c r="E16" s="8" t="n">
        <v>3</v>
      </c>
      <c r="F16" s="7" t="n">
        <v>0.105</v>
      </c>
      <c r="G16" s="4" t="inlineStr">
        <is>
          <t>2026-07-31</t>
        </is>
      </c>
      <c r="H16" s="4" t="inlineStr">
        <is>
          <t>Fund's own NTA announcement</t>
        </is>
      </c>
      <c r="I16" s="8" t="n">
        <v>21</v>
      </c>
      <c r="J16" s="9" t="n">
        <v>0.062375</v>
      </c>
      <c r="K16" s="9" t="n">
        <v>-0.457143</v>
      </c>
      <c r="L16" s="9" t="n">
        <v>-0.311658</v>
      </c>
      <c r="M16" s="10" t="n">
        <v>-0.2009</v>
      </c>
      <c r="N16" s="7" t="n">
        <v>0.108</v>
      </c>
      <c r="O16" s="9" t="n">
        <v>0.02777777777777793</v>
      </c>
      <c r="P16" s="5" t="inlineStr"/>
      <c r="Q16" s="5" t="n"/>
    </row>
    <row r="17">
      <c r="A17" s="4" t="inlineStr">
        <is>
          <t>WQG</t>
        </is>
      </c>
      <c r="B17" s="5" t="inlineStr">
        <is>
          <t>WCM Global Growth Limited</t>
        </is>
      </c>
      <c r="C17" s="6" t="inlineStr">
        <is>
          <t>GREEN</t>
        </is>
      </c>
      <c r="D17" s="7" t="n">
        <v>2.140000104904175</v>
      </c>
      <c r="E17" s="8" t="n">
        <v>3</v>
      </c>
      <c r="F17" s="7" t="n">
        <v>2.056</v>
      </c>
      <c r="G17" s="4" t="inlineStr">
        <is>
          <t>2026-08-21</t>
        </is>
      </c>
      <c r="H17" s="4" t="inlineStr">
        <is>
          <t>Fund's own NTA announcement</t>
        </is>
      </c>
      <c r="I17" s="8" t="n">
        <v>6</v>
      </c>
      <c r="J17" s="9" t="n">
        <v>0.041012</v>
      </c>
      <c r="K17" s="9" t="n">
        <v>0.040856</v>
      </c>
      <c r="L17" s="9" t="n">
        <v>-0.103434</v>
      </c>
      <c r="M17" s="10" t="n">
        <v>3.1393</v>
      </c>
      <c r="N17" s="7" t="n">
        <v>2.178</v>
      </c>
      <c r="O17" s="9" t="n">
        <v>0.05601469237832869</v>
      </c>
      <c r="P17" s="5" t="inlineStr"/>
      <c r="Q17" s="5" t="n"/>
    </row>
    <row r="18">
      <c r="A18" s="4" t="inlineStr">
        <is>
          <t>DN1</t>
        </is>
      </c>
      <c r="B18" s="5" t="inlineStr">
        <is>
          <t>Dominion Income Trust 1</t>
        </is>
      </c>
      <c r="C18" s="11" t="inlineStr">
        <is>
          <t>AMBER</t>
        </is>
      </c>
      <c r="D18" s="7" t="n">
        <v>99.25</v>
      </c>
      <c r="E18" s="8" t="n">
        <v>3</v>
      </c>
      <c r="F18" s="7" t="n">
        <v>100.15</v>
      </c>
      <c r="G18" s="4" t="inlineStr">
        <is>
          <t>2026-08-13</t>
        </is>
      </c>
      <c r="H18" s="4" t="inlineStr">
        <is>
          <t>Monthly report</t>
        </is>
      </c>
      <c r="I18" s="8" t="n">
        <v>12</v>
      </c>
      <c r="J18" s="9" t="n">
        <v>0.03235</v>
      </c>
      <c r="K18" s="9" t="n">
        <v>-0.008987</v>
      </c>
      <c r="L18" s="9" t="n"/>
      <c r="M18" s="10" t="n"/>
      <c r="N18" s="7" t="n">
        <v>102.7265468860402</v>
      </c>
      <c r="O18" s="9" t="n">
        <v>0.02508160708349783</v>
      </c>
      <c r="P18" s="5" t="inlineStr">
        <is>
          <t>Fewer than 24 months of discount history</t>
        </is>
      </c>
      <c r="Q18" s="5" t="inlineStr">
        <is>
          <t>the fund needs its own discount history in the monthly panel; until then it can be monitored but not z-scored</t>
        </is>
      </c>
    </row>
    <row r="19">
      <c r="A19" s="4" t="inlineStr">
        <is>
          <t>GLS</t>
        </is>
      </c>
      <c r="B19" s="5" t="inlineStr">
        <is>
          <t>L1 Global Long Short Fund Limited</t>
        </is>
      </c>
      <c r="C19" s="11" t="inlineStr">
        <is>
          <t>AMBER</t>
        </is>
      </c>
      <c r="D19" s="7" t="n">
        <v>2.119999885559082</v>
      </c>
      <c r="E19" s="8" t="n">
        <v>3</v>
      </c>
      <c r="F19" s="7" t="n">
        <v>1.77</v>
      </c>
      <c r="G19" s="4" t="inlineStr">
        <is>
          <t>2026-07-31</t>
        </is>
      </c>
      <c r="H19" s="4" t="inlineStr">
        <is>
          <t>Fund's own NTA announcement</t>
        </is>
      </c>
      <c r="I19" s="8" t="n">
        <v>21</v>
      </c>
      <c r="J19" s="9" t="n">
        <v>0.091502</v>
      </c>
      <c r="K19" s="9" t="n">
        <v>0.19774</v>
      </c>
      <c r="L19" s="9" t="n"/>
      <c r="M19" s="10" t="n"/>
      <c r="N19" s="7" t="n">
        <v>1.722</v>
      </c>
      <c r="O19" s="9" t="n">
        <v>0.02787456445993034</v>
      </c>
      <c r="P19" s="5" t="inlineStr">
        <is>
          <t>Fewer than 24 months of discount history</t>
        </is>
      </c>
      <c r="Q19" s="5" t="inlineStr">
        <is>
          <t>the fund needs its own discount history in the monthly panel; until then it can be monitored but not z-scored</t>
        </is>
      </c>
    </row>
    <row r="20">
      <c r="A20" s="4" t="inlineStr">
        <is>
          <t>LF1</t>
        </is>
      </c>
      <c r="B20" s="5" t="inlineStr">
        <is>
          <t>La Trobe Private Credit Fund</t>
        </is>
      </c>
      <c r="C20" s="11" t="inlineStr">
        <is>
          <t>AMBER</t>
        </is>
      </c>
      <c r="D20" s="7" t="n">
        <v>1.899999976158142</v>
      </c>
      <c r="E20" s="8" t="n">
        <v>3</v>
      </c>
      <c r="F20" s="7" t="n">
        <v>1.96</v>
      </c>
      <c r="G20" s="4" t="inlineStr">
        <is>
          <t>2026-07-31</t>
        </is>
      </c>
      <c r="H20" s="4" t="inlineStr">
        <is>
          <t>Fund's own NTA announcement</t>
        </is>
      </c>
      <c r="I20" s="8" t="n">
        <v>21</v>
      </c>
      <c r="J20" s="9" t="n">
        <v>0.048389</v>
      </c>
      <c r="K20" s="9" t="n">
        <v>-0.030612</v>
      </c>
      <c r="L20" s="9" t="n"/>
      <c r="M20" s="10" t="n"/>
      <c r="N20" s="7" t="n">
        <v>1.97</v>
      </c>
      <c r="O20" s="9" t="n">
        <v>0.0050761421319797</v>
      </c>
      <c r="P20" s="5" t="inlineStr">
        <is>
          <t>Fewer than 24 months of discount history</t>
        </is>
      </c>
      <c r="Q20" s="5" t="inlineStr">
        <is>
          <t>the fund needs its own discount history in the monthly panel; until then it can be monitored but not z-scored</t>
        </is>
      </c>
    </row>
    <row r="21">
      <c r="A21" s="4" t="inlineStr">
        <is>
          <t>LGF</t>
        </is>
      </c>
      <c r="B21" s="5" t="inlineStr">
        <is>
          <t>L1 Gold Fund Limited</t>
        </is>
      </c>
      <c r="C21" s="11" t="inlineStr">
        <is>
          <t>AMBER</t>
        </is>
      </c>
      <c r="D21" s="7" t="n">
        <v>2.380000114440918</v>
      </c>
      <c r="E21" s="8" t="n">
        <v>3</v>
      </c>
      <c r="F21" s="7" t="n">
        <v>1.7534</v>
      </c>
      <c r="G21" s="4" t="inlineStr">
        <is>
          <t>2026-06-30</t>
        </is>
      </c>
      <c r="H21" s="4" t="inlineStr">
        <is>
          <t>ASX monthly report</t>
        </is>
      </c>
      <c r="I21" s="8" t="n">
        <v>44</v>
      </c>
      <c r="J21" s="9" t="n">
        <v>0.153067</v>
      </c>
      <c r="K21" s="9" t="n">
        <v>0.357363</v>
      </c>
      <c r="L21" s="9" t="n"/>
      <c r="M21" s="10" t="n"/>
      <c r="N21" s="7" t="n">
        <v>1.8254</v>
      </c>
      <c r="O21" s="9" t="n">
        <v>0.0394434096636354</v>
      </c>
      <c r="P21" s="5" t="inlineStr">
        <is>
          <t>Fewer than 24 months of discount history</t>
        </is>
      </c>
      <c r="Q21" s="5" t="inlineStr">
        <is>
          <t>the fund needs its own discount history in the monthly panel; until then it can be monitored but not z-scored</t>
        </is>
      </c>
    </row>
    <row r="22">
      <c r="A22" s="4" t="inlineStr">
        <is>
          <t>MRE</t>
        </is>
      </c>
      <c r="B22" s="5" t="inlineStr">
        <is>
          <t>Metrics Real Estate Multi-Strategy Fund</t>
        </is>
      </c>
      <c r="C22" s="11" t="inlineStr">
        <is>
          <t>AMBER</t>
        </is>
      </c>
      <c r="D22" s="7" t="n">
        <v>1.769999980926514</v>
      </c>
      <c r="E22" s="8" t="n">
        <v>3</v>
      </c>
      <c r="F22" s="7" t="n">
        <v>2.5429</v>
      </c>
      <c r="G22" s="4" t="inlineStr">
        <is>
          <t>2026-06-30</t>
        </is>
      </c>
      <c r="H22" s="4" t="inlineStr">
        <is>
          <t>ASX monthly report</t>
        </is>
      </c>
      <c r="I22" s="8" t="n">
        <v>44</v>
      </c>
      <c r="J22" s="9" t="n">
        <v>0.061946</v>
      </c>
      <c r="K22" s="9" t="n">
        <v>-0.303944</v>
      </c>
      <c r="L22" s="9" t="n"/>
      <c r="M22" s="10" t="n"/>
      <c r="N22" s="7" t="n">
        <v>2.4886</v>
      </c>
      <c r="O22" s="9" t="n">
        <v>0.02181949690589087</v>
      </c>
      <c r="P22" s="5" t="inlineStr">
        <is>
          <t>Fewer than 24 months of discount history</t>
        </is>
      </c>
      <c r="Q22" s="5" t="inlineStr">
        <is>
          <t>the fund needs its own discount history in the monthly panel; until then it can be monitored but not z-scored</t>
        </is>
      </c>
    </row>
    <row r="23">
      <c r="A23" s="4" t="inlineStr">
        <is>
          <t>RG1</t>
        </is>
      </c>
      <c r="B23" s="5" t="inlineStr">
        <is>
          <t>Regal Partners Global Investments Limited</t>
        </is>
      </c>
      <c r="C23" s="11" t="inlineStr">
        <is>
          <t>AMBER</t>
        </is>
      </c>
      <c r="D23" s="7" t="n">
        <v>2.529999971389771</v>
      </c>
      <c r="E23" s="8" t="n">
        <v>3</v>
      </c>
      <c r="F23" s="7" t="n">
        <v>2.93</v>
      </c>
      <c r="G23" s="4" t="inlineStr">
        <is>
          <t>2026-08-23</t>
        </is>
      </c>
      <c r="H23" s="4" t="inlineStr">
        <is>
          <t>Fund's own NTA announcement</t>
        </is>
      </c>
      <c r="I23" s="8" t="n">
        <v>5</v>
      </c>
      <c r="J23" s="9" t="n">
        <v>0.044648</v>
      </c>
      <c r="K23" s="9" t="n">
        <v>-0.136519</v>
      </c>
      <c r="L23" s="9" t="n"/>
      <c r="M23" s="10" t="n"/>
      <c r="N23" s="7" t="n">
        <v>2.65</v>
      </c>
      <c r="O23" s="9" t="n">
        <v>0.1056603773584907</v>
      </c>
      <c r="P23" s="5" t="inlineStr">
        <is>
          <t>Fewer than 24 months of discount history</t>
        </is>
      </c>
      <c r="Q23" s="5" t="inlineStr">
        <is>
          <t>the fund needs its own discount history in the monthly panel; until then it can be monitored but not z-scored</t>
        </is>
      </c>
    </row>
    <row r="24">
      <c r="A24" s="4" t="inlineStr">
        <is>
          <t>SET</t>
        </is>
      </c>
      <c r="B24" s="5" t="inlineStr">
        <is>
          <t>Solaris Australian Equity Income Plus Limited</t>
        </is>
      </c>
      <c r="C24" s="11" t="inlineStr">
        <is>
          <t>AMBER</t>
        </is>
      </c>
      <c r="D24" s="7" t="n">
        <v>2.190000057220459</v>
      </c>
      <c r="E24" s="8" t="n">
        <v>3</v>
      </c>
      <c r="F24" s="7" t="n">
        <v>2.037</v>
      </c>
      <c r="G24" s="4" t="inlineStr">
        <is>
          <t>2026-08-27</t>
        </is>
      </c>
      <c r="H24" s="4" t="inlineStr">
        <is>
          <t>Fund's earlier published NTA</t>
        </is>
      </c>
      <c r="I24" s="8" t="n">
        <v>2</v>
      </c>
      <c r="J24" s="9" t="n">
        <v>0.022752</v>
      </c>
      <c r="K24" s="9" t="n">
        <v>0.07511</v>
      </c>
      <c r="L24" s="9" t="n"/>
      <c r="M24" s="10" t="n"/>
      <c r="N24" s="7" t="n">
        <v>1.985</v>
      </c>
      <c r="O24" s="9" t="n">
        <v>0.02619647355163719</v>
      </c>
      <c r="P24" s="5" t="inlineStr">
        <is>
          <t>Fewer than 24 months of discount history</t>
        </is>
      </c>
      <c r="Q24" s="5" t="inlineStr">
        <is>
          <t>the fund needs its own discount history in the monthly panel; until then it can be monitored but not z-scored</t>
        </is>
      </c>
    </row>
    <row r="25">
      <c r="A25" s="4" t="inlineStr">
        <is>
          <t>UWC</t>
        </is>
      </c>
      <c r="B25" s="5" t="inlineStr">
        <is>
          <t>Underwood Capital Limited</t>
        </is>
      </c>
      <c r="C25" s="11" t="inlineStr">
        <is>
          <t>AMBER</t>
        </is>
      </c>
      <c r="D25" s="7" t="n">
        <v>0.0570000000298023</v>
      </c>
      <c r="E25" s="8" t="n">
        <v>3</v>
      </c>
      <c r="F25" s="7" t="n">
        <v>0.1033</v>
      </c>
      <c r="G25" s="4" t="inlineStr">
        <is>
          <t>2026-06-30</t>
        </is>
      </c>
      <c r="H25" s="4" t="inlineStr">
        <is>
          <t>ASX monthly report</t>
        </is>
      </c>
      <c r="I25" s="8" t="n">
        <v>44</v>
      </c>
      <c r="J25" s="9" t="n">
        <v>0.153067</v>
      </c>
      <c r="K25" s="9" t="n">
        <v>-0.448209</v>
      </c>
      <c r="L25" s="9" t="n"/>
      <c r="M25" s="10" t="n"/>
      <c r="N25" s="7" t="n">
        <v>0.1034</v>
      </c>
      <c r="O25" s="9" t="n">
        <v>0.0009671179883946118</v>
      </c>
      <c r="P25" s="5" t="inlineStr">
        <is>
          <t>Fewer than 24 months of discount history</t>
        </is>
      </c>
      <c r="Q25" s="5" t="inlineStr">
        <is>
          <t>the fund needs its own discount history in the monthly panel; until then it can be monitored but not z-scored</t>
        </is>
      </c>
    </row>
    <row r="26">
      <c r="A26" s="4" t="inlineStr">
        <is>
          <t>WHI</t>
        </is>
      </c>
      <c r="B26" s="5" t="inlineStr">
        <is>
          <t>Whitefield Income Limited</t>
        </is>
      </c>
      <c r="C26" s="11" t="inlineStr">
        <is>
          <t>AMBER</t>
        </is>
      </c>
      <c r="D26" s="7" t="n">
        <v>1.299999952316284</v>
      </c>
      <c r="E26" s="8" t="n">
        <v>3</v>
      </c>
      <c r="F26" s="7" t="n">
        <v>1.21</v>
      </c>
      <c r="G26" s="4" t="inlineStr">
        <is>
          <t>2026-06-30</t>
        </is>
      </c>
      <c r="H26" s="4" t="inlineStr">
        <is>
          <t>ASX monthly report</t>
        </is>
      </c>
      <c r="I26" s="8" t="n">
        <v>44</v>
      </c>
      <c r="J26" s="9" t="n">
        <v>0.106718</v>
      </c>
      <c r="K26" s="9" t="n">
        <v>0.07438</v>
      </c>
      <c r="L26" s="9" t="n"/>
      <c r="M26" s="10" t="n"/>
      <c r="N26" s="7" t="n">
        <v>1.22</v>
      </c>
      <c r="O26" s="9" t="n">
        <v>0.008196721311475417</v>
      </c>
      <c r="P26" s="5" t="inlineStr">
        <is>
          <t>Fewer than 24 months of discount history</t>
        </is>
      </c>
      <c r="Q26" s="5" t="inlineStr">
        <is>
          <t>the fund needs its own discount history in the monthly panel; until then it can be monitored but not z-scored</t>
        </is>
      </c>
    </row>
    <row r="27">
      <c r="A27" s="4" t="inlineStr">
        <is>
          <t>WMX</t>
        </is>
      </c>
      <c r="B27" s="5" t="inlineStr">
        <is>
          <t>WAM Income Maximiser Limited</t>
        </is>
      </c>
      <c r="C27" s="11" t="inlineStr">
        <is>
          <t>AMBER</t>
        </is>
      </c>
      <c r="D27" s="7" t="n">
        <v>1.639999985694885</v>
      </c>
      <c r="E27" s="8" t="n">
        <v>3</v>
      </c>
      <c r="F27" s="7" t="n">
        <v>1.69</v>
      </c>
      <c r="G27" s="4" t="inlineStr">
        <is>
          <t>2026-08-14</t>
        </is>
      </c>
      <c r="H27" s="4" t="inlineStr">
        <is>
          <t>Fund's own NTA announcement</t>
        </is>
      </c>
      <c r="I27" s="8" t="n">
        <v>11</v>
      </c>
      <c r="J27" s="9" t="n">
        <v>0.053359</v>
      </c>
      <c r="K27" s="9" t="n">
        <v>-0.029586</v>
      </c>
      <c r="L27" s="9" t="n"/>
      <c r="M27" s="10" t="n"/>
      <c r="N27" s="7" t="n">
        <v>1.6701</v>
      </c>
      <c r="O27" s="9" t="n">
        <v>0.01191545416442144</v>
      </c>
      <c r="P27" s="5" t="inlineStr">
        <is>
          <t>Fewer than 24 months of discount history</t>
        </is>
      </c>
      <c r="Q27" s="5" t="inlineStr">
        <is>
          <t>the fund needs its own discount history in the monthly panel; until then it can be monitored but not z-scored</t>
        </is>
      </c>
    </row>
    <row r="28">
      <c r="A28" s="4" t="inlineStr">
        <is>
          <t>AFI</t>
        </is>
      </c>
      <c r="B28" s="5" t="inlineStr">
        <is>
          <t>Australian Foundation Investment Company Limited</t>
        </is>
      </c>
      <c r="C28" s="11" t="inlineStr">
        <is>
          <t>AMBER</t>
        </is>
      </c>
      <c r="D28" s="7" t="n">
        <v>6.909999847412109</v>
      </c>
      <c r="E28" s="8" t="n">
        <v>3</v>
      </c>
      <c r="F28" s="7" t="n">
        <v>8.06</v>
      </c>
      <c r="G28" s="4" t="inlineStr">
        <is>
          <t>2026-08-28</t>
        </is>
      </c>
      <c r="H28" s="4" t="inlineStr">
        <is>
          <t>Fund's earlier published NTA</t>
        </is>
      </c>
      <c r="I28" s="8" t="n">
        <v>1</v>
      </c>
      <c r="J28" s="9" t="n">
        <v>0.013873</v>
      </c>
      <c r="K28" s="9" t="n">
        <v>-0.14268</v>
      </c>
      <c r="L28" s="9" t="n">
        <v>-0.073495</v>
      </c>
      <c r="M28" s="10" t="n">
        <v>-1.015</v>
      </c>
      <c r="N28" s="7" t="n">
        <v>7.93</v>
      </c>
      <c r="O28" s="9" t="n">
        <v>0.01639344262295092</v>
      </c>
      <c r="P28" s="5" t="inlineStr">
        <is>
          <t>NAV is estimated forward from an older figure, not published</t>
        </is>
      </c>
      <c r="Q28" s="5" t="inlineStr">
        <is>
          <t>none needed - the NAV is modelled forward from a published anchor and carries its own error band</t>
        </is>
      </c>
    </row>
    <row r="29">
      <c r="A29" s="4" t="inlineStr">
        <is>
          <t>AMH</t>
        </is>
      </c>
      <c r="B29" s="5" t="inlineStr">
        <is>
          <t>AMCIL Limited</t>
        </is>
      </c>
      <c r="C29" s="11" t="inlineStr">
        <is>
          <t>AMBER</t>
        </is>
      </c>
      <c r="D29" s="7" t="n">
        <v>0.9100000262260436</v>
      </c>
      <c r="E29" s="8" t="n">
        <v>3</v>
      </c>
      <c r="F29" s="7" t="n">
        <v>1.08</v>
      </c>
      <c r="G29" s="4" t="inlineStr">
        <is>
          <t>2026-08-28</t>
        </is>
      </c>
      <c r="H29" s="4" t="inlineStr">
        <is>
          <t>Fund's earlier published NTA</t>
        </is>
      </c>
      <c r="I29" s="8" t="n">
        <v>1</v>
      </c>
      <c r="J29" s="9" t="n">
        <v>0.009929</v>
      </c>
      <c r="K29" s="9" t="n">
        <v>-0.157407</v>
      </c>
      <c r="L29" s="9" t="n">
        <v>-0.117189</v>
      </c>
      <c r="M29" s="10" t="n">
        <v>-1.3157</v>
      </c>
      <c r="N29" s="7" t="n">
        <v>1.08</v>
      </c>
      <c r="O29" s="9" t="n">
        <v>0</v>
      </c>
      <c r="P29" s="5" t="inlineStr">
        <is>
          <t>NAV is estimated forward from an older figure, not published</t>
        </is>
      </c>
      <c r="Q29" s="5" t="inlineStr">
        <is>
          <t>none needed - the NAV is modelled forward from a published anchor and carries its own error band</t>
        </is>
      </c>
    </row>
    <row r="30">
      <c r="A30" s="4" t="inlineStr">
        <is>
          <t>BKI</t>
        </is>
      </c>
      <c r="B30" s="5" t="inlineStr">
        <is>
          <t>BKI Investment Company Limited</t>
        </is>
      </c>
      <c r="C30" s="11" t="inlineStr">
        <is>
          <t>AMBER</t>
        </is>
      </c>
      <c r="D30" s="7" t="n">
        <v>1.850000023841858</v>
      </c>
      <c r="E30" s="8" t="n">
        <v>3</v>
      </c>
      <c r="F30" s="7" t="n">
        <v>2.07</v>
      </c>
      <c r="G30" s="4" t="inlineStr">
        <is>
          <t>2026-08-28</t>
        </is>
      </c>
      <c r="H30" s="4" t="inlineStr">
        <is>
          <t>Fund's earlier published NTA</t>
        </is>
      </c>
      <c r="I30" s="8" t="n">
        <v>1</v>
      </c>
      <c r="J30" s="9" t="n">
        <v>0.009671000000000001</v>
      </c>
      <c r="K30" s="9" t="n">
        <v>-0.10628</v>
      </c>
      <c r="L30" s="9" t="n">
        <v>-0.07818700000000001</v>
      </c>
      <c r="M30" s="10" t="n">
        <v>-0.6209</v>
      </c>
      <c r="N30" s="7" t="n">
        <v>2.07</v>
      </c>
      <c r="O30" s="9" t="n">
        <v>0</v>
      </c>
      <c r="P30" s="5" t="inlineStr">
        <is>
          <t>NAV is estimated forward from an older figure, not published</t>
        </is>
      </c>
      <c r="Q30" s="5" t="inlineStr">
        <is>
          <t>none needed - the NAV is modelled forward from a published anchor and carries its own error band</t>
        </is>
      </c>
    </row>
    <row r="31">
      <c r="A31" s="4" t="inlineStr">
        <is>
          <t>DJW</t>
        </is>
      </c>
      <c r="B31" s="5" t="inlineStr">
        <is>
          <t>Djerriwarrh Investments Limited</t>
        </is>
      </c>
      <c r="C31" s="11" t="inlineStr">
        <is>
          <t>AMBER</t>
        </is>
      </c>
      <c r="D31" s="7" t="n">
        <v>3</v>
      </c>
      <c r="E31" s="8" t="n">
        <v>3</v>
      </c>
      <c r="F31" s="7" t="n">
        <v>3.34</v>
      </c>
      <c r="G31" s="4" t="inlineStr">
        <is>
          <t>2026-08-28</t>
        </is>
      </c>
      <c r="H31" s="4" t="inlineStr">
        <is>
          <t>Fund's earlier published NTA</t>
        </is>
      </c>
      <c r="I31" s="8" t="n">
        <v>1</v>
      </c>
      <c r="J31" s="9" t="n">
        <v>0.011641</v>
      </c>
      <c r="K31" s="9" t="n">
        <v>-0.101796</v>
      </c>
      <c r="L31" s="9" t="n">
        <v>-0.08674</v>
      </c>
      <c r="M31" s="10" t="n">
        <v>-0.5542</v>
      </c>
      <c r="N31" s="7" t="n">
        <v>3.22</v>
      </c>
      <c r="O31" s="9" t="n">
        <v>0.0372670807453415</v>
      </c>
      <c r="P31" s="5" t="inlineStr">
        <is>
          <t>NAV is estimated forward from an older figure, not published</t>
        </is>
      </c>
      <c r="Q31" s="5" t="inlineStr">
        <is>
          <t>none needed - the NAV is modelled forward from a published anchor and carries its own error band</t>
        </is>
      </c>
    </row>
    <row r="32">
      <c r="A32" s="4" t="inlineStr">
        <is>
          <t>LSF</t>
        </is>
      </c>
      <c r="B32" s="5" t="inlineStr">
        <is>
          <t>L1 Long Short Fund Limited</t>
        </is>
      </c>
      <c r="C32" s="11" t="inlineStr">
        <is>
          <t>AMBER</t>
        </is>
      </c>
      <c r="D32" s="7" t="n">
        <v>4.980000019073486</v>
      </c>
      <c r="E32" s="8" t="n">
        <v>3</v>
      </c>
      <c r="F32" s="7" t="n">
        <v>4.6331</v>
      </c>
      <c r="G32" s="4" t="inlineStr">
        <is>
          <t>2026-08-26</t>
        </is>
      </c>
      <c r="H32" s="4" t="inlineStr">
        <is>
          <t>Fund's earlier published NTA</t>
        </is>
      </c>
      <c r="I32" s="8" t="n">
        <v>3</v>
      </c>
      <c r="J32" s="9" t="n">
        <v>0.028615</v>
      </c>
      <c r="K32" s="9" t="n">
        <v>0.074874</v>
      </c>
      <c r="L32" s="9" t="n">
        <v>-0.032329</v>
      </c>
      <c r="M32" s="10" t="n">
        <v>2.4279</v>
      </c>
      <c r="N32" s="7" t="n">
        <v>4.317</v>
      </c>
      <c r="O32" s="9" t="n">
        <v>0.07322214500810739</v>
      </c>
      <c r="P32" s="5" t="inlineStr">
        <is>
          <t>NAV is estimated forward from an older figure, not published</t>
        </is>
      </c>
      <c r="Q32" s="5" t="inlineStr">
        <is>
          <t>none needed - the NAV is modelled forward from a published anchor and carries its own error band</t>
        </is>
      </c>
    </row>
    <row r="33">
      <c r="A33" s="4" t="inlineStr">
        <is>
          <t>MA1</t>
        </is>
      </c>
      <c r="B33" s="5" t="inlineStr">
        <is>
          <t>MA Credit Income Trust</t>
        </is>
      </c>
      <c r="C33" s="11" t="inlineStr">
        <is>
          <t>AMBER</t>
        </is>
      </c>
      <c r="D33" s="7" t="n">
        <v>1.960000038146973</v>
      </c>
      <c r="E33" s="8" t="n">
        <v>3</v>
      </c>
      <c r="F33" s="7" t="n">
        <v>2.0135</v>
      </c>
      <c r="G33" s="4" t="inlineStr">
        <is>
          <t>2026-08-28</t>
        </is>
      </c>
      <c r="H33" s="4" t="inlineStr">
        <is>
          <t>Fund's earlier published NTA</t>
        </is>
      </c>
      <c r="I33" s="8" t="n">
        <v>1</v>
      </c>
      <c r="J33" s="9" t="n">
        <v>0.027944</v>
      </c>
      <c r="K33" s="9" t="n">
        <v>-0.026571</v>
      </c>
      <c r="L33" s="9" t="n">
        <v>-0.136628</v>
      </c>
      <c r="M33" s="10" t="n">
        <v>2.0311</v>
      </c>
      <c r="N33" s="7" t="n"/>
      <c r="O33" s="9" t="n"/>
      <c r="P33" s="5" t="inlineStr">
        <is>
          <t>NAV is estimated forward from an older figure, not published</t>
        </is>
      </c>
      <c r="Q33" s="5" t="inlineStr">
        <is>
          <t>none needed - the NAV is modelled forward from a published anchor and carries its own error band</t>
        </is>
      </c>
    </row>
    <row r="34">
      <c r="A34" s="4" t="inlineStr">
        <is>
          <t>MIR</t>
        </is>
      </c>
      <c r="B34" s="5" t="inlineStr">
        <is>
          <t>Mirrabooka Investments Limited</t>
        </is>
      </c>
      <c r="C34" s="11" t="inlineStr">
        <is>
          <t>AMBER</t>
        </is>
      </c>
      <c r="D34" s="7" t="n">
        <v>2.569999933242798</v>
      </c>
      <c r="E34" s="8" t="n">
        <v>3</v>
      </c>
      <c r="F34" s="7" t="n">
        <v>2.74</v>
      </c>
      <c r="G34" s="4" t="inlineStr">
        <is>
          <t>2026-08-28</t>
        </is>
      </c>
      <c r="H34" s="4" t="inlineStr">
        <is>
          <t>Fund's earlier published NTA</t>
        </is>
      </c>
      <c r="I34" s="8" t="n">
        <v>1</v>
      </c>
      <c r="J34" s="9" t="n">
        <v>0.014244</v>
      </c>
      <c r="K34" s="9" t="n">
        <v>-0.062044</v>
      </c>
      <c r="L34" s="9" t="n">
        <v>-0.008795000000000001</v>
      </c>
      <c r="M34" s="10" t="n">
        <v>-0.9026999999999999</v>
      </c>
      <c r="N34" s="7" t="n">
        <v>2.82</v>
      </c>
      <c r="O34" s="9" t="n">
        <v>0.02836879432624101</v>
      </c>
      <c r="P34" s="5" t="inlineStr">
        <is>
          <t>NAV is estimated forward from an older figure, not published</t>
        </is>
      </c>
      <c r="Q34" s="5" t="inlineStr">
        <is>
          <t>none needed - the NAV is modelled forward from a published anchor and carries its own error band</t>
        </is>
      </c>
    </row>
    <row r="35">
      <c r="A35" s="4" t="inlineStr">
        <is>
          <t>PIC</t>
        </is>
      </c>
      <c r="B35" s="5" t="inlineStr">
        <is>
          <t>Perpetual Equity Investment Company Limited</t>
        </is>
      </c>
      <c r="C35" s="11" t="inlineStr">
        <is>
          <t>AMBER</t>
        </is>
      </c>
      <c r="D35" s="7" t="n">
        <v>1.240000009536743</v>
      </c>
      <c r="E35" s="8" t="n">
        <v>3</v>
      </c>
      <c r="F35" s="7" t="n">
        <v>1.232</v>
      </c>
      <c r="G35" s="4" t="inlineStr">
        <is>
          <t>2026-08-28</t>
        </is>
      </c>
      <c r="H35" s="4" t="inlineStr">
        <is>
          <t>Fund's earlier published NTA</t>
        </is>
      </c>
      <c r="I35" s="8" t="n">
        <v>1</v>
      </c>
      <c r="J35" s="9" t="n">
        <v>0.012131</v>
      </c>
      <c r="K35" s="9" t="n">
        <v>0.006494</v>
      </c>
      <c r="L35" s="9" t="n">
        <v>-0.050628</v>
      </c>
      <c r="M35" s="10" t="n">
        <v>1.6325</v>
      </c>
      <c r="N35" s="7" t="n">
        <v>1.207</v>
      </c>
      <c r="O35" s="9" t="n">
        <v>0.0207125103562551</v>
      </c>
      <c r="P35" s="5" t="inlineStr">
        <is>
          <t>NAV is estimated forward from an older figure, not published</t>
        </is>
      </c>
      <c r="Q35" s="5" t="inlineStr">
        <is>
          <t>none needed - the NAV is modelled forward from a published anchor and carries its own error band</t>
        </is>
      </c>
    </row>
    <row r="36">
      <c r="A36" s="4" t="inlineStr">
        <is>
          <t>PL8</t>
        </is>
      </c>
      <c r="B36" s="5" t="inlineStr">
        <is>
          <t>Plato Income Maximiser Limited</t>
        </is>
      </c>
      <c r="C36" s="11" t="inlineStr">
        <is>
          <t>AMBER</t>
        </is>
      </c>
      <c r="D36" s="7" t="n">
        <v>1.440000057220459</v>
      </c>
      <c r="E36" s="8" t="n">
        <v>3</v>
      </c>
      <c r="F36" s="7" t="n">
        <v>1.164</v>
      </c>
      <c r="G36" s="4" t="inlineStr">
        <is>
          <t>2026-08-21</t>
        </is>
      </c>
      <c r="H36" s="4" t="inlineStr">
        <is>
          <t>Fund's earlier published NTA</t>
        </is>
      </c>
      <c r="I36" s="8" t="n">
        <v>6</v>
      </c>
      <c r="J36" s="9" t="n">
        <v>0.034625</v>
      </c>
      <c r="K36" s="9" t="n">
        <v>0.237113</v>
      </c>
      <c r="L36" s="9" t="n">
        <v>0.150882</v>
      </c>
      <c r="M36" s="10" t="n">
        <v>1.3539</v>
      </c>
      <c r="N36" s="7" t="n">
        <v>1.144</v>
      </c>
      <c r="O36" s="9" t="n">
        <v>0.0174825174825175</v>
      </c>
      <c r="P36" s="5" t="inlineStr">
        <is>
          <t>NAV is estimated forward from an older figure, not published</t>
        </is>
      </c>
      <c r="Q36" s="5" t="inlineStr">
        <is>
          <t>none needed - the NAV is modelled forward from a published anchor and carries its own error band</t>
        </is>
      </c>
    </row>
    <row r="37">
      <c r="A37" s="4" t="inlineStr">
        <is>
          <t>RF1</t>
        </is>
      </c>
      <c r="B37" s="5" t="inlineStr">
        <is>
          <t>Regal Investment Fund</t>
        </is>
      </c>
      <c r="C37" s="11" t="inlineStr">
        <is>
          <t>AMBER</t>
        </is>
      </c>
      <c r="D37" s="7" t="n">
        <v>3.619999885559082</v>
      </c>
      <c r="E37" s="8" t="n">
        <v>3</v>
      </c>
      <c r="F37" s="7" t="n">
        <v>3.58</v>
      </c>
      <c r="G37" s="4" t="inlineStr">
        <is>
          <t>2026-08-28</t>
        </is>
      </c>
      <c r="H37" s="4" t="inlineStr">
        <is>
          <t>Fund's earlier published NTA</t>
        </is>
      </c>
      <c r="I37" s="8" t="n">
        <v>1</v>
      </c>
      <c r="J37" s="9" t="n">
        <v>0.018721</v>
      </c>
      <c r="K37" s="9" t="n">
        <v>0.011173</v>
      </c>
      <c r="L37" s="9" t="n">
        <v>-0.066182</v>
      </c>
      <c r="M37" s="10" t="n">
        <v>1.8654</v>
      </c>
      <c r="N37" s="7" t="n">
        <v>3.67</v>
      </c>
      <c r="O37" s="9" t="n">
        <v>0.02452316076294274</v>
      </c>
      <c r="P37" s="5" t="inlineStr">
        <is>
          <t>NAV is estimated forward from an older figure, not published</t>
        </is>
      </c>
      <c r="Q37" s="5" t="inlineStr">
        <is>
          <t>none needed - the NAV is modelled forward from a published anchor and carries its own error band</t>
        </is>
      </c>
    </row>
    <row r="38">
      <c r="A38" s="4" t="inlineStr">
        <is>
          <t>SEC</t>
        </is>
      </c>
      <c r="B38" s="5" t="inlineStr">
        <is>
          <t>Spheria Emerging Companies Limited</t>
        </is>
      </c>
      <c r="C38" s="11" t="inlineStr">
        <is>
          <t>AMBER</t>
        </is>
      </c>
      <c r="D38" s="7" t="n">
        <v>2.369999885559082</v>
      </c>
      <c r="E38" s="8" t="n">
        <v>3</v>
      </c>
      <c r="F38" s="7" t="n">
        <v>2.311</v>
      </c>
      <c r="G38" s="4" t="inlineStr">
        <is>
          <t>2026-08-27</t>
        </is>
      </c>
      <c r="H38" s="4" t="inlineStr">
        <is>
          <t>Fund's earlier published NTA</t>
        </is>
      </c>
      <c r="I38" s="8" t="n">
        <v>2</v>
      </c>
      <c r="J38" s="9" t="n">
        <v>0.014402</v>
      </c>
      <c r="K38" s="9" t="n">
        <v>0.02553</v>
      </c>
      <c r="L38" s="9" t="n">
        <v>-0.033714</v>
      </c>
      <c r="M38" s="10" t="n">
        <v>0.9953</v>
      </c>
      <c r="N38" s="7" t="n">
        <v>2.238</v>
      </c>
      <c r="O38" s="9" t="n">
        <v>0.03261840929401249</v>
      </c>
      <c r="P38" s="5" t="inlineStr">
        <is>
          <t>NAV is estimated forward from an older figure, not published</t>
        </is>
      </c>
      <c r="Q38" s="5" t="inlineStr">
        <is>
          <t>none needed - the NAV is modelled forward from a published anchor and carries its own error band</t>
        </is>
      </c>
    </row>
    <row r="39">
      <c r="A39" s="4" t="inlineStr">
        <is>
          <t>TGF</t>
        </is>
      </c>
      <c r="B39" s="5" t="inlineStr">
        <is>
          <t>Tribeca Global Natural Resources Limited</t>
        </is>
      </c>
      <c r="C39" s="11" t="inlineStr">
        <is>
          <t>AMBER</t>
        </is>
      </c>
      <c r="D39" s="7" t="n">
        <v>2.849999904632568</v>
      </c>
      <c r="E39" s="8" t="n">
        <v>3</v>
      </c>
      <c r="F39" s="7" t="n">
        <v>3.86</v>
      </c>
      <c r="G39" s="4" t="inlineStr">
        <is>
          <t>2026-08-28</t>
        </is>
      </c>
      <c r="H39" s="4" t="inlineStr">
        <is>
          <t>Fund's earlier published NTA</t>
        </is>
      </c>
      <c r="I39" s="8" t="n">
        <v>1</v>
      </c>
      <c r="J39" s="9" t="n">
        <v>0.023076</v>
      </c>
      <c r="K39" s="9" t="n">
        <v>-0.261658</v>
      </c>
      <c r="L39" s="9" t="n">
        <v>-0.231391</v>
      </c>
      <c r="M39" s="10" t="n">
        <v>-0.6131</v>
      </c>
      <c r="N39" s="7" t="n">
        <v>3.486</v>
      </c>
      <c r="O39" s="9" t="n">
        <v>0.1072862880091795</v>
      </c>
      <c r="P39" s="5" t="inlineStr">
        <is>
          <t>NAV is estimated forward from an older figure, not published</t>
        </is>
      </c>
      <c r="Q39" s="5" t="inlineStr">
        <is>
          <t>none needed - the NAV is modelled forward from a published anchor and carries its own error band</t>
        </is>
      </c>
    </row>
    <row r="40">
      <c r="A40" s="4" t="inlineStr">
        <is>
          <t>CD1</t>
        </is>
      </c>
      <c r="B40" s="5" t="inlineStr">
        <is>
          <t>Cd Private Equity Fund I</t>
        </is>
      </c>
      <c r="C40" s="11" t="inlineStr">
        <is>
          <t>AMBER</t>
        </is>
      </c>
      <c r="D40" s="7" t="n">
        <v>0.2599999904632568</v>
      </c>
      <c r="E40" s="8" t="n">
        <v>3</v>
      </c>
      <c r="F40" s="7" t="n">
        <v>0.61</v>
      </c>
      <c r="G40" s="4" t="inlineStr">
        <is>
          <t>2026-06-30</t>
        </is>
      </c>
      <c r="H40" s="4" t="inlineStr">
        <is>
          <t>Monthly report</t>
        </is>
      </c>
      <c r="I40" s="8" t="n">
        <v>44</v>
      </c>
      <c r="J40" s="9" t="n">
        <v>0.195299</v>
      </c>
      <c r="K40" s="9" t="n">
        <v>-0.573771</v>
      </c>
      <c r="L40" s="9" t="n">
        <v>-0.353132</v>
      </c>
      <c r="M40" s="10" t="n">
        <v>-3.8806</v>
      </c>
      <c r="N40" s="7" t="n">
        <v>0.59</v>
      </c>
      <c r="O40" s="9" t="n">
        <v>0.0338983050847458</v>
      </c>
      <c r="P40" s="5" t="inlineStr">
        <is>
          <t>Newest NAV we hold is old</t>
        </is>
      </c>
      <c r="Q40" s="5" t="inlineStr">
        <is>
          <t>re-run the NAV harvest; the anchor is past the fresh window</t>
        </is>
      </c>
    </row>
    <row r="41">
      <c r="A41" s="4" t="inlineStr">
        <is>
          <t>CDO</t>
        </is>
      </c>
      <c r="B41" s="5" t="inlineStr">
        <is>
          <t>Cadence Opportunities Fund Limited</t>
        </is>
      </c>
      <c r="C41" s="11" t="inlineStr">
        <is>
          <t>AMBER</t>
        </is>
      </c>
      <c r="D41" s="7" t="n">
        <v>2.289999961853028</v>
      </c>
      <c r="E41" s="8" t="n">
        <v>3</v>
      </c>
      <c r="F41" s="7" t="n">
        <v>2.194</v>
      </c>
      <c r="G41" s="4" t="inlineStr">
        <is>
          <t>2026-06-30</t>
        </is>
      </c>
      <c r="H41" s="4" t="inlineStr">
        <is>
          <t>ASX monthly report</t>
        </is>
      </c>
      <c r="I41" s="8" t="n">
        <v>44</v>
      </c>
      <c r="J41" s="9" t="n">
        <v>0.10621</v>
      </c>
      <c r="K41" s="9" t="n">
        <v>0.043756</v>
      </c>
      <c r="L41" s="9" t="n">
        <v>-0.145223</v>
      </c>
      <c r="M41" s="10" t="n">
        <v>1.0953</v>
      </c>
      <c r="N41" s="7" t="n">
        <v>2.316</v>
      </c>
      <c r="O41" s="9" t="n">
        <v>0.05267702936096714</v>
      </c>
      <c r="P41" s="5" t="inlineStr">
        <is>
          <t>Newest NAV we hold is old</t>
        </is>
      </c>
      <c r="Q41" s="5" t="inlineStr">
        <is>
          <t>re-run the NAV harvest; the anchor is past the fresh window</t>
        </is>
      </c>
    </row>
    <row r="42">
      <c r="A42" s="4" t="inlineStr">
        <is>
          <t>FGX</t>
        </is>
      </c>
      <c r="B42" s="5" t="inlineStr">
        <is>
          <t>Future Generation Australia Limited</t>
        </is>
      </c>
      <c r="C42" s="11" t="inlineStr">
        <is>
          <t>AMBER</t>
        </is>
      </c>
      <c r="D42" s="7" t="n">
        <v>1.360000014305115</v>
      </c>
      <c r="E42" s="8" t="n">
        <v>3</v>
      </c>
      <c r="F42" s="7" t="n">
        <v>1.3234</v>
      </c>
      <c r="G42" s="4" t="inlineStr">
        <is>
          <t>2026-06-30</t>
        </is>
      </c>
      <c r="H42" s="4" t="inlineStr">
        <is>
          <t>ASX monthly report</t>
        </is>
      </c>
      <c r="I42" s="8" t="n">
        <v>44</v>
      </c>
      <c r="J42" s="9" t="n">
        <v>0.080695</v>
      </c>
      <c r="K42" s="9" t="n">
        <v>0.027656</v>
      </c>
      <c r="L42" s="9" t="n">
        <v>-0.113778</v>
      </c>
      <c r="M42" s="10" t="n">
        <v>3.1174</v>
      </c>
      <c r="N42" s="7" t="n">
        <v>1.3924</v>
      </c>
      <c r="O42" s="9" t="n">
        <v>0.04955472565354795</v>
      </c>
      <c r="P42" s="5" t="inlineStr">
        <is>
          <t>Newest NAV we hold is old</t>
        </is>
      </c>
      <c r="Q42" s="5" t="inlineStr">
        <is>
          <t>re-run the NAV harvest; the anchor is past the fresh window</t>
        </is>
      </c>
    </row>
    <row r="43">
      <c r="A43" s="4" t="inlineStr">
        <is>
          <t>MOT</t>
        </is>
      </c>
      <c r="B43" s="5" t="inlineStr">
        <is>
          <t>Metrics Income Opportunities Trust</t>
        </is>
      </c>
      <c r="C43" s="11" t="inlineStr">
        <is>
          <t>AMBER</t>
        </is>
      </c>
      <c r="D43" s="7" t="n">
        <v>1.615000009536743</v>
      </c>
      <c r="E43" s="8" t="n">
        <v>3</v>
      </c>
      <c r="F43" s="7" t="n">
        <v>2.1458</v>
      </c>
      <c r="G43" s="4" t="inlineStr">
        <is>
          <t>2026-06-30</t>
        </is>
      </c>
      <c r="H43" s="4" t="inlineStr">
        <is>
          <t>ASX monthly report</t>
        </is>
      </c>
      <c r="I43" s="8" t="n">
        <v>44</v>
      </c>
      <c r="J43" s="9" t="n">
        <v>0.093987</v>
      </c>
      <c r="K43" s="9" t="n">
        <v>-0.247367</v>
      </c>
      <c r="L43" s="9" t="n">
        <v>-0.059273</v>
      </c>
      <c r="M43" s="10" t="n">
        <v>-2.5632</v>
      </c>
      <c r="N43" s="7" t="n">
        <v>2.1615</v>
      </c>
      <c r="O43" s="9" t="n">
        <v>0.007263474439047082</v>
      </c>
      <c r="P43" s="5" t="inlineStr">
        <is>
          <t>Newest NAV we hold is old</t>
        </is>
      </c>
      <c r="Q43" s="5" t="inlineStr">
        <is>
          <t>re-run the NAV harvest; the anchor is past the fresh window</t>
        </is>
      </c>
    </row>
    <row r="44">
      <c r="A44" s="4" t="inlineStr">
        <is>
          <t>MXT</t>
        </is>
      </c>
      <c r="B44" s="5" t="inlineStr">
        <is>
          <t>Metrics Master Income Trust</t>
        </is>
      </c>
      <c r="C44" s="11" t="inlineStr">
        <is>
          <t>AMBER</t>
        </is>
      </c>
      <c r="D44" s="7" t="n">
        <v>1.914999961853028</v>
      </c>
      <c r="E44" s="8" t="n">
        <v>3</v>
      </c>
      <c r="F44" s="7" t="n">
        <v>2.0016</v>
      </c>
      <c r="G44" s="4" t="inlineStr">
        <is>
          <t>2026-06-30</t>
        </is>
      </c>
      <c r="H44" s="4" t="inlineStr">
        <is>
          <t>ASX monthly report</t>
        </is>
      </c>
      <c r="I44" s="8" t="n">
        <v>44</v>
      </c>
      <c r="J44" s="9" t="n">
        <v>0.05009</v>
      </c>
      <c r="K44" s="9" t="n">
        <v>-0.043265</v>
      </c>
      <c r="L44" s="9" t="n">
        <v>0.009783999999999999</v>
      </c>
      <c r="M44" s="10" t="n">
        <v>-1.9323</v>
      </c>
      <c r="N44" s="7" t="n">
        <v>2.0148</v>
      </c>
      <c r="O44" s="9" t="n">
        <v>0.006551518761167521</v>
      </c>
      <c r="P44" s="5" t="inlineStr">
        <is>
          <t>Newest NAV we hold is old</t>
        </is>
      </c>
      <c r="Q44" s="5" t="inlineStr">
        <is>
          <t>re-run the NAV harvest; the anchor is past the fresh window</t>
        </is>
      </c>
    </row>
    <row r="45">
      <c r="A45" s="4" t="inlineStr">
        <is>
          <t>OPH</t>
        </is>
      </c>
      <c r="B45" s="5" t="inlineStr">
        <is>
          <t>Ophir High Conviction Fund</t>
        </is>
      </c>
      <c r="C45" s="11" t="inlineStr">
        <is>
          <t>AMBER</t>
        </is>
      </c>
      <c r="D45" s="7" t="n">
        <v>2.460000038146973</v>
      </c>
      <c r="E45" s="8" t="n">
        <v>3</v>
      </c>
      <c r="F45" s="7" t="n">
        <v>3.1428</v>
      </c>
      <c r="G45" s="4" t="inlineStr">
        <is>
          <t>2026-06-30</t>
        </is>
      </c>
      <c r="H45" s="4" t="inlineStr">
        <is>
          <t>ASX monthly report</t>
        </is>
      </c>
      <c r="I45" s="8" t="n">
        <v>44</v>
      </c>
      <c r="J45" s="9" t="n">
        <v>0.144038</v>
      </c>
      <c r="K45" s="9" t="n">
        <v>-0.217258</v>
      </c>
      <c r="L45" s="9" t="n">
        <v>-0.104955</v>
      </c>
      <c r="M45" s="10" t="n">
        <v>-4.3668</v>
      </c>
      <c r="N45" s="7" t="n">
        <v>3.1142</v>
      </c>
      <c r="O45" s="9" t="n">
        <v>0.009183739001990867</v>
      </c>
      <c r="P45" s="5" t="inlineStr">
        <is>
          <t>Newest NAV we hold is old</t>
        </is>
      </c>
      <c r="Q45" s="5" t="inlineStr">
        <is>
          <t>re-run the NAV harvest; the anchor is past the fresh window</t>
        </is>
      </c>
    </row>
    <row r="46">
      <c r="A46" s="4" t="inlineStr">
        <is>
          <t>PIA</t>
        </is>
      </c>
      <c r="B46" s="5" t="inlineStr">
        <is>
          <t>Pengana International Equities Limited</t>
        </is>
      </c>
      <c r="C46" s="11" t="inlineStr">
        <is>
          <t>AMBER</t>
        </is>
      </c>
      <c r="D46" s="7" t="n">
        <v>1.080000042915344</v>
      </c>
      <c r="E46" s="8" t="n">
        <v>3</v>
      </c>
      <c r="F46" s="7" t="n">
        <v>1.3778</v>
      </c>
      <c r="G46" s="4" t="inlineStr">
        <is>
          <t>2026-06-30</t>
        </is>
      </c>
      <c r="H46" s="4" t="inlineStr">
        <is>
          <t>ASX monthly report</t>
        </is>
      </c>
      <c r="I46" s="8" t="n">
        <v>44</v>
      </c>
      <c r="J46" s="9" t="n">
        <v>0.105924</v>
      </c>
      <c r="K46" s="9" t="n">
        <v>-0.216142</v>
      </c>
      <c r="L46" s="9" t="n">
        <v>-0.133649</v>
      </c>
      <c r="M46" s="10" t="n">
        <v>-2.9117</v>
      </c>
      <c r="N46" s="7" t="n">
        <v>1.35</v>
      </c>
      <c r="O46" s="9" t="n">
        <v>0.02059259259259246</v>
      </c>
      <c r="P46" s="5" t="inlineStr">
        <is>
          <t>Newest NAV we hold is old</t>
        </is>
      </c>
      <c r="Q46" s="5" t="inlineStr">
        <is>
          <t>re-run the NAV harvest; the anchor is past the fresh window</t>
        </is>
      </c>
    </row>
    <row r="47">
      <c r="A47" s="4" t="inlineStr">
        <is>
          <t>WHF</t>
        </is>
      </c>
      <c r="B47" s="5" t="inlineStr">
        <is>
          <t>Whitefield Industrials Limited</t>
        </is>
      </c>
      <c r="C47" s="11" t="inlineStr">
        <is>
          <t>AMBER</t>
        </is>
      </c>
      <c r="D47" s="7" t="n">
        <v>4.96999979019165</v>
      </c>
      <c r="E47" s="8" t="n">
        <v>3</v>
      </c>
      <c r="F47" s="7" t="n">
        <v>6.11</v>
      </c>
      <c r="G47" s="4" t="inlineStr">
        <is>
          <t>2026-06-30</t>
        </is>
      </c>
      <c r="H47" s="4" t="inlineStr">
        <is>
          <t>ASX monthly report</t>
        </is>
      </c>
      <c r="I47" s="8" t="n">
        <v>44</v>
      </c>
      <c r="J47" s="9" t="n">
        <v>0.071469</v>
      </c>
      <c r="K47" s="9" t="n">
        <v>-0.186579</v>
      </c>
      <c r="L47" s="9" t="n">
        <v>-0.11403</v>
      </c>
      <c r="M47" s="10" t="n">
        <v>-1.3645</v>
      </c>
      <c r="N47" s="7" t="n">
        <v>5.99</v>
      </c>
      <c r="O47" s="9" t="n">
        <v>0.02003338898163608</v>
      </c>
      <c r="P47" s="5" t="inlineStr">
        <is>
          <t>Newest NAV we hold is old</t>
        </is>
      </c>
      <c r="Q47" s="5" t="inlineStr">
        <is>
          <t>re-run the NAV harvest; the anchor is past the fresh window</t>
        </is>
      </c>
    </row>
    <row r="48">
      <c r="A48" s="4" t="inlineStr">
        <is>
          <t>8IH</t>
        </is>
      </c>
      <c r="B48" s="5" t="inlineStr">
        <is>
          <t>8I Holdings Ltd</t>
        </is>
      </c>
      <c r="C48" s="11" t="inlineStr">
        <is>
          <t>AMBER</t>
        </is>
      </c>
      <c r="D48" s="7" t="n">
        <v>0.0189999993890523</v>
      </c>
      <c r="E48" s="8" t="n">
        <v>3</v>
      </c>
      <c r="F48" s="7" t="n">
        <v>0.0383</v>
      </c>
      <c r="G48" s="4" t="inlineStr">
        <is>
          <t>2026-08-12</t>
        </is>
      </c>
      <c r="H48" s="4" t="inlineStr">
        <is>
          <t>Fund's own NTA announcement</t>
        </is>
      </c>
      <c r="I48" s="8" t="n">
        <v>13</v>
      </c>
      <c r="J48" s="9" t="n">
        <v>0.294098</v>
      </c>
      <c r="K48" s="9" t="n">
        <v>-0.503916</v>
      </c>
      <c r="L48" s="9" t="n">
        <v>-0.561123</v>
      </c>
      <c r="M48" s="10" t="n"/>
      <c r="N48" s="7" t="n">
        <v>0.0427</v>
      </c>
      <c r="O48" s="9" t="n">
        <v>0.1030444964871195</v>
      </c>
      <c r="P48" s="5" t="inlineStr">
        <is>
          <t>Discount is not far enough from its own average to beat the uncertainty in our NAV</t>
        </is>
      </c>
      <c r="Q48" s="5" t="inlineStr">
        <is>
          <t>none needed - the discount is within its own estimate's error band, so there is no current dislocation to signal</t>
        </is>
      </c>
    </row>
    <row r="49">
      <c r="A49" s="4" t="inlineStr">
        <is>
          <t>ACQ</t>
        </is>
      </c>
      <c r="B49" s="5" t="inlineStr">
        <is>
          <t>Acorn Capital Investment Fund Limited</t>
        </is>
      </c>
      <c r="C49" s="11" t="inlineStr">
        <is>
          <t>AMBER</t>
        </is>
      </c>
      <c r="D49" s="7" t="n">
        <v>0.9049999713897704</v>
      </c>
      <c r="E49" s="8" t="n">
        <v>3</v>
      </c>
      <c r="F49" s="7" t="n">
        <v>1.1477</v>
      </c>
      <c r="G49" s="4" t="inlineStr">
        <is>
          <t>2026-06-30</t>
        </is>
      </c>
      <c r="H49" s="4" t="inlineStr">
        <is>
          <t>ASX monthly report</t>
        </is>
      </c>
      <c r="I49" s="8" t="n">
        <v>44</v>
      </c>
      <c r="J49" s="9" t="n">
        <v>0.111438</v>
      </c>
      <c r="K49" s="9" t="n">
        <v>-0.211466</v>
      </c>
      <c r="L49" s="9" t="n">
        <v>-0.198146</v>
      </c>
      <c r="M49" s="10" t="n"/>
      <c r="N49" s="7" t="n">
        <v>1.164</v>
      </c>
      <c r="O49" s="9" t="n">
        <v>0.01400343642611682</v>
      </c>
      <c r="P49" s="5" t="inlineStr">
        <is>
          <t>Discount is not far enough from its own average to beat the uncertainty in our NAV</t>
        </is>
      </c>
      <c r="Q49" s="5" t="inlineStr">
        <is>
          <t>none needed - the discount is within its own estimate's error band, so there is no current dislocation to signal</t>
        </is>
      </c>
    </row>
    <row r="50">
      <c r="A50" s="4" t="inlineStr">
        <is>
          <t>AIQ</t>
        </is>
      </c>
      <c r="B50" s="5" t="inlineStr">
        <is>
          <t>Alternative Investment Trust</t>
        </is>
      </c>
      <c r="C50" s="11" t="inlineStr">
        <is>
          <t>AMBER</t>
        </is>
      </c>
      <c r="D50" s="7" t="n">
        <v>1.389999985694885</v>
      </c>
      <c r="E50" s="8" t="n">
        <v>3</v>
      </c>
      <c r="F50" s="7" t="n">
        <v>1.5212</v>
      </c>
      <c r="G50" s="4" t="inlineStr">
        <is>
          <t>2026-06-30</t>
        </is>
      </c>
      <c r="H50" s="4" t="inlineStr">
        <is>
          <t>Fund's own NTA announcement</t>
        </is>
      </c>
      <c r="I50" s="8" t="n">
        <v>44</v>
      </c>
      <c r="J50" s="9" t="n">
        <v>0.272339</v>
      </c>
      <c r="K50" s="9" t="n">
        <v>-0.08624800000000001</v>
      </c>
      <c r="L50" s="9" t="n">
        <v>-0.139178</v>
      </c>
      <c r="M50" s="10" t="n"/>
      <c r="N50" s="7" t="n">
        <v>1.4892</v>
      </c>
      <c r="O50" s="9" t="n">
        <v>0.02148804727370402</v>
      </c>
      <c r="P50" s="5" t="inlineStr">
        <is>
          <t>Discount is not far enough from its own average to beat the uncertainty in our NAV</t>
        </is>
      </c>
      <c r="Q50" s="5" t="inlineStr">
        <is>
          <t>none needed - the discount is within its own estimate's error band, so there is no current dislocation to signal</t>
        </is>
      </c>
    </row>
    <row r="51">
      <c r="A51" s="4" t="inlineStr">
        <is>
          <t>BEL</t>
        </is>
      </c>
      <c r="B51" s="5" t="inlineStr">
        <is>
          <t>Bentley Capital Limited</t>
        </is>
      </c>
      <c r="C51" s="11" t="inlineStr">
        <is>
          <t>AMBER</t>
        </is>
      </c>
      <c r="D51" s="7" t="n">
        <v>0.0089999996125698</v>
      </c>
      <c r="E51" s="8" t="n">
        <v>3</v>
      </c>
      <c r="F51" s="7" t="n">
        <v>0.0098</v>
      </c>
      <c r="G51" s="4" t="inlineStr">
        <is>
          <t>2026-06-30</t>
        </is>
      </c>
      <c r="H51" s="4" t="inlineStr">
        <is>
          <t>ASX monthly report</t>
        </is>
      </c>
      <c r="I51" s="8" t="n">
        <v>44</v>
      </c>
      <c r="J51" s="9" t="n">
        <v>0.414009</v>
      </c>
      <c r="K51" s="9" t="n">
        <v>-0.081633</v>
      </c>
      <c r="L51" s="9" t="n">
        <v>0.144571</v>
      </c>
      <c r="M51" s="10" t="n"/>
      <c r="N51" s="7" t="n">
        <v>0.009900000000000001</v>
      </c>
      <c r="O51" s="9" t="n">
        <v>0.01010101010101021</v>
      </c>
      <c r="P51" s="5" t="inlineStr">
        <is>
          <t>Discount is not far enough from its own average to beat the uncertainty in our NAV</t>
        </is>
      </c>
      <c r="Q51" s="5" t="inlineStr">
        <is>
          <t>none needed - the discount is within its own estimate's error band, so there is no current dislocation to signal</t>
        </is>
      </c>
    </row>
    <row r="52">
      <c r="A52" s="4" t="inlineStr">
        <is>
          <t>BTI</t>
        </is>
      </c>
      <c r="B52" s="5" t="inlineStr">
        <is>
          <t>Bailador Technology Investments Limited</t>
        </is>
      </c>
      <c r="C52" s="11" t="inlineStr">
        <is>
          <t>AMBER</t>
        </is>
      </c>
      <c r="D52" s="7" t="n">
        <v>0.9700000286102296</v>
      </c>
      <c r="E52" s="8" t="n">
        <v>3</v>
      </c>
      <c r="F52" s="7" t="n">
        <v>1.76</v>
      </c>
      <c r="G52" s="4" t="inlineStr">
        <is>
          <t>2026-06-30</t>
        </is>
      </c>
      <c r="H52" s="4" t="inlineStr">
        <is>
          <t>ASX monthly report</t>
        </is>
      </c>
      <c r="I52" s="8" t="n">
        <v>44</v>
      </c>
      <c r="J52" s="9" t="n">
        <v>0.204855</v>
      </c>
      <c r="K52" s="9" t="n">
        <v>-0.448864</v>
      </c>
      <c r="L52" s="9" t="n">
        <v>-0.334277</v>
      </c>
      <c r="M52" s="10" t="n"/>
      <c r="N52" s="7" t="n">
        <v>1.7</v>
      </c>
      <c r="O52" s="9" t="n">
        <v>0.03529411764705886</v>
      </c>
      <c r="P52" s="5" t="inlineStr">
        <is>
          <t>Discount is not far enough from its own average to beat the uncertainty in our NAV</t>
        </is>
      </c>
      <c r="Q52" s="5" t="inlineStr">
        <is>
          <t>none needed - the discount is within its own estimate's error band, so there is no current dislocation to signal</t>
        </is>
      </c>
    </row>
    <row r="53">
      <c r="A53" s="4" t="inlineStr">
        <is>
          <t>CD2</t>
        </is>
      </c>
      <c r="B53" s="5" t="inlineStr">
        <is>
          <t>Cd Private Equity Fund II</t>
        </is>
      </c>
      <c r="C53" s="11" t="inlineStr">
        <is>
          <t>AMBER</t>
        </is>
      </c>
      <c r="D53" s="7" t="n">
        <v>0.2800000011920929</v>
      </c>
      <c r="E53" s="8" t="n">
        <v>3</v>
      </c>
      <c r="F53" s="7" t="n">
        <v>0.62</v>
      </c>
      <c r="G53" s="4" t="inlineStr">
        <is>
          <t>2026-06-30</t>
        </is>
      </c>
      <c r="H53" s="4" t="inlineStr">
        <is>
          <t>Monthly report</t>
        </is>
      </c>
      <c r="I53" s="8" t="n">
        <v>44</v>
      </c>
      <c r="J53" s="9" t="n">
        <v>0.219901</v>
      </c>
      <c r="K53" s="9" t="n">
        <v>-0.548387</v>
      </c>
      <c r="L53" s="9" t="n">
        <v>-0.350794</v>
      </c>
      <c r="M53" s="10" t="n"/>
      <c r="N53" s="7" t="n">
        <v>0.6</v>
      </c>
      <c r="O53" s="9" t="n">
        <v>0.03333333333333318</v>
      </c>
      <c r="P53" s="5" t="inlineStr">
        <is>
          <t>Discount is not far enough from its own average to beat the uncertainty in our NAV</t>
        </is>
      </c>
      <c r="Q53" s="5" t="inlineStr">
        <is>
          <t>none needed - the discount is within its own estimate's error band, so there is no current dislocation to signal</t>
        </is>
      </c>
    </row>
    <row r="54">
      <c r="A54" s="4" t="inlineStr">
        <is>
          <t>CDM</t>
        </is>
      </c>
      <c r="B54" s="5" t="inlineStr">
        <is>
          <t>Cadence Capital Limited</t>
        </is>
      </c>
      <c r="C54" s="11" t="inlineStr">
        <is>
          <t>AMBER</t>
        </is>
      </c>
      <c r="D54" s="7" t="n">
        <v>0.7900000214576721</v>
      </c>
      <c r="E54" s="8" t="n">
        <v>3</v>
      </c>
      <c r="F54" s="7" t="n">
        <v>0.842</v>
      </c>
      <c r="G54" s="4" t="inlineStr">
        <is>
          <t>2026-06-30</t>
        </is>
      </c>
      <c r="H54" s="4" t="inlineStr">
        <is>
          <t>ASX monthly report</t>
        </is>
      </c>
      <c r="I54" s="8" t="n">
        <v>44</v>
      </c>
      <c r="J54" s="9" t="n">
        <v>0.122975</v>
      </c>
      <c r="K54" s="9" t="n">
        <v>-0.061758</v>
      </c>
      <c r="L54" s="9" t="n">
        <v>-0.153949</v>
      </c>
      <c r="M54" s="10" t="n"/>
      <c r="N54" s="7" t="n">
        <v>0.876</v>
      </c>
      <c r="O54" s="9" t="n">
        <v>0.03881278538812789</v>
      </c>
      <c r="P54" s="5" t="inlineStr">
        <is>
          <t>Discount is not far enough from its own average to beat the uncertainty in our NAV</t>
        </is>
      </c>
      <c r="Q54" s="5" t="inlineStr">
        <is>
          <t>none needed - the discount is within its own estimate's error band, so there is no current dislocation to signal</t>
        </is>
      </c>
    </row>
    <row r="55">
      <c r="A55" s="4" t="inlineStr">
        <is>
          <t>CIN</t>
        </is>
      </c>
      <c r="B55" s="5" t="inlineStr">
        <is>
          <t>Carlton Investments Limited</t>
        </is>
      </c>
      <c r="C55" s="11" t="inlineStr">
        <is>
          <t>AMBER</t>
        </is>
      </c>
      <c r="D55" s="7" t="n">
        <v>37.04999923706055</v>
      </c>
      <c r="E55" s="8" t="n">
        <v>3</v>
      </c>
      <c r="F55" s="7" t="n">
        <v>45.82</v>
      </c>
      <c r="G55" s="4" t="inlineStr">
        <is>
          <t>2026-06-30</t>
        </is>
      </c>
      <c r="H55" s="4" t="inlineStr">
        <is>
          <t>ASX monthly report</t>
        </is>
      </c>
      <c r="I55" s="8" t="n">
        <v>44</v>
      </c>
      <c r="J55" s="9" t="n">
        <v>0.099396</v>
      </c>
      <c r="K55" s="9" t="n">
        <v>-0.191401</v>
      </c>
      <c r="L55" s="9" t="n">
        <v>-0.256919</v>
      </c>
      <c r="M55" s="10" t="n"/>
      <c r="N55" s="7" t="n">
        <v>45.19</v>
      </c>
      <c r="O55" s="9" t="n">
        <v>0.0139411374197832</v>
      </c>
      <c r="P55" s="5" t="inlineStr">
        <is>
          <t>Discount is not far enough from its own average to beat the uncertainty in our NAV</t>
        </is>
      </c>
      <c r="Q55" s="5" t="inlineStr">
        <is>
          <t>none needed - the discount is within its own estimate's error band, so there is no current dislocation to signal</t>
        </is>
      </c>
    </row>
    <row r="56">
      <c r="A56" s="4" t="inlineStr">
        <is>
          <t>ECL</t>
        </is>
      </c>
      <c r="B56" s="5" t="inlineStr">
        <is>
          <t>Excelsior Capital Ltd</t>
        </is>
      </c>
      <c r="C56" s="11" t="inlineStr">
        <is>
          <t>AMBER</t>
        </is>
      </c>
      <c r="D56" s="7" t="n">
        <v>0.949999988079071</v>
      </c>
      <c r="E56" s="8" t="n">
        <v>3</v>
      </c>
      <c r="F56" s="7" t="n">
        <v>0.9633</v>
      </c>
      <c r="G56" s="4" t="inlineStr">
        <is>
          <t>2026-06-30</t>
        </is>
      </c>
      <c r="H56" s="4" t="inlineStr">
        <is>
          <t>ASX monthly report</t>
        </is>
      </c>
      <c r="I56" s="8" t="n">
        <v>44</v>
      </c>
      <c r="J56" s="9" t="n">
        <v>0.3352</v>
      </c>
      <c r="K56" s="9" t="n">
        <v>-0.013807</v>
      </c>
      <c r="L56" s="9" t="n">
        <v>-0.013284</v>
      </c>
      <c r="M56" s="10" t="n"/>
      <c r="N56" s="7" t="n">
        <v>0.9572000000000001</v>
      </c>
      <c r="O56" s="9" t="n">
        <v>0.006372753865440863</v>
      </c>
      <c r="P56" s="5" t="inlineStr">
        <is>
          <t>Discount is not far enough from its own average to beat the uncertainty in our NAV</t>
        </is>
      </c>
      <c r="Q56" s="5" t="inlineStr">
        <is>
          <t>none needed - the discount is within its own estimate's error band, so there is no current dislocation to signal</t>
        </is>
      </c>
    </row>
    <row r="57">
      <c r="A57" s="4" t="inlineStr">
        <is>
          <t>ECP</t>
        </is>
      </c>
      <c r="B57" s="5" t="inlineStr">
        <is>
          <t>ECP Emerging Growth Limited</t>
        </is>
      </c>
      <c r="C57" s="11" t="inlineStr">
        <is>
          <t>AMBER</t>
        </is>
      </c>
      <c r="D57" s="7" t="n">
        <v>0.7400000095367432</v>
      </c>
      <c r="E57" s="8" t="n">
        <v>3</v>
      </c>
      <c r="F57" s="7" t="n">
        <v>1.022</v>
      </c>
      <c r="G57" s="4" t="inlineStr">
        <is>
          <t>2026-08-12</t>
        </is>
      </c>
      <c r="H57" s="4" t="inlineStr">
        <is>
          <t>Fund's own NTA announcement</t>
        </is>
      </c>
      <c r="I57" s="8" t="n">
        <v>13</v>
      </c>
      <c r="J57" s="9" t="n">
        <v>0.06393500000000001</v>
      </c>
      <c r="K57" s="9" t="n">
        <v>-0.27593</v>
      </c>
      <c r="L57" s="9" t="n">
        <v>-0.228378</v>
      </c>
      <c r="M57" s="10" t="n"/>
      <c r="N57" s="7" t="n">
        <v>1.034</v>
      </c>
      <c r="O57" s="9" t="n">
        <v>0.01160541586073502</v>
      </c>
      <c r="P57" s="5" t="inlineStr">
        <is>
          <t>Discount is not far enough from its own average to beat the uncertainty in our NAV</t>
        </is>
      </c>
      <c r="Q57" s="5" t="inlineStr">
        <is>
          <t>none needed - the discount is within its own estimate's error band, so there is no current dislocation to signal</t>
        </is>
      </c>
    </row>
    <row r="58">
      <c r="A58" s="4" t="inlineStr">
        <is>
          <t>FGG</t>
        </is>
      </c>
      <c r="B58" s="5" t="inlineStr">
        <is>
          <t>Future Generation Global Limited</t>
        </is>
      </c>
      <c r="C58" s="11" t="inlineStr">
        <is>
          <t>AMBER</t>
        </is>
      </c>
      <c r="D58" s="7" t="n">
        <v>1.620000004768372</v>
      </c>
      <c r="E58" s="8" t="n">
        <v>3</v>
      </c>
      <c r="F58" s="7" t="n">
        <v>1.653</v>
      </c>
      <c r="G58" s="4" t="inlineStr">
        <is>
          <t>2026-06-30</t>
        </is>
      </c>
      <c r="H58" s="4" t="inlineStr">
        <is>
          <t>ASX monthly report</t>
        </is>
      </c>
      <c r="I58" s="8" t="n">
        <v>44</v>
      </c>
      <c r="J58" s="9" t="n">
        <v>0.112825</v>
      </c>
      <c r="K58" s="9" t="n">
        <v>-0.019964</v>
      </c>
      <c r="L58" s="9" t="n">
        <v>-0.132571</v>
      </c>
      <c r="M58" s="10" t="n"/>
      <c r="N58" s="7" t="n">
        <v>1.721</v>
      </c>
      <c r="O58" s="9" t="n">
        <v>0.03951191167925628</v>
      </c>
      <c r="P58" s="5" t="inlineStr">
        <is>
          <t>Discount is not far enough from its own average to beat the uncertainty in our NAV</t>
        </is>
      </c>
      <c r="Q58" s="5" t="inlineStr">
        <is>
          <t>none needed - the discount is within its own estimate's error band, so there is no current dislocation to signal</t>
        </is>
      </c>
    </row>
    <row r="59">
      <c r="A59" s="4" t="inlineStr">
        <is>
          <t>FPC</t>
        </is>
      </c>
      <c r="B59" s="5" t="inlineStr">
        <is>
          <t>Fat Prophets Global Contrarian Fund Ltd</t>
        </is>
      </c>
      <c r="C59" s="11" t="inlineStr">
        <is>
          <t>AMBER</t>
        </is>
      </c>
      <c r="D59" s="7" t="n">
        <v>1.409999966621399</v>
      </c>
      <c r="E59" s="8" t="n">
        <v>3</v>
      </c>
      <c r="F59" s="7" t="n">
        <v>1.8861</v>
      </c>
      <c r="G59" s="4" t="inlineStr">
        <is>
          <t>2026-08-20</t>
        </is>
      </c>
      <c r="H59" s="4" t="inlineStr">
        <is>
          <t>Fund's own NTA announcement</t>
        </is>
      </c>
      <c r="I59" s="8" t="n">
        <v>7</v>
      </c>
      <c r="J59" s="9" t="n">
        <v>0.052829</v>
      </c>
      <c r="K59" s="9" t="n">
        <v>-0.252426</v>
      </c>
      <c r="L59" s="9" t="n">
        <v>-0.246945</v>
      </c>
      <c r="M59" s="10" t="n"/>
      <c r="N59" s="7" t="n">
        <v>1.6887</v>
      </c>
      <c r="O59" s="9" t="n">
        <v>0.1168946526914194</v>
      </c>
      <c r="P59" s="5" t="inlineStr">
        <is>
          <t>Discount is not far enough from its own average to beat the uncertainty in our NAV</t>
        </is>
      </c>
      <c r="Q59" s="5" t="inlineStr">
        <is>
          <t>none needed - the discount is within its own estimate's error band, so there is no current dislocation to signal</t>
        </is>
      </c>
    </row>
    <row r="60">
      <c r="A60" s="4" t="inlineStr">
        <is>
          <t>FSI</t>
        </is>
      </c>
      <c r="B60" s="5" t="inlineStr">
        <is>
          <t>Flagship Investments Limited</t>
        </is>
      </c>
      <c r="C60" s="11" t="inlineStr">
        <is>
          <t>AMBER</t>
        </is>
      </c>
      <c r="D60" s="7" t="n">
        <v>1.230000019073486</v>
      </c>
      <c r="E60" s="8" t="n">
        <v>3</v>
      </c>
      <c r="F60" s="7" t="n">
        <v>1.577</v>
      </c>
      <c r="G60" s="4" t="inlineStr">
        <is>
          <t>2026-08-05</t>
        </is>
      </c>
      <c r="H60" s="4" t="inlineStr">
        <is>
          <t>Monthly report</t>
        </is>
      </c>
      <c r="I60" s="8" t="n">
        <v>18</v>
      </c>
      <c r="J60" s="9" t="n">
        <v>0.122792</v>
      </c>
      <c r="K60" s="9" t="n">
        <v>-0.220038</v>
      </c>
      <c r="L60" s="9" t="n">
        <v>-0.184232</v>
      </c>
      <c r="M60" s="10" t="n"/>
      <c r="N60" s="7" t="n">
        <v>1.538</v>
      </c>
      <c r="O60" s="9" t="n">
        <v>0.02535760728218461</v>
      </c>
      <c r="P60" s="5" t="inlineStr">
        <is>
          <t>Discount is not far enough from its own average to beat the uncertainty in our NAV</t>
        </is>
      </c>
      <c r="Q60" s="5" t="inlineStr">
        <is>
          <t>none needed - the discount is within its own estimate's error band, so there is no current dislocation to signal</t>
        </is>
      </c>
    </row>
    <row r="61">
      <c r="A61" s="4" t="inlineStr">
        <is>
          <t>GCI</t>
        </is>
      </c>
      <c r="B61" s="5" t="inlineStr">
        <is>
          <t>Gryphon Capital Income Trust</t>
        </is>
      </c>
      <c r="C61" s="11" t="inlineStr">
        <is>
          <t>AMBER</t>
        </is>
      </c>
      <c r="D61" s="7" t="n">
        <v>2.059999942779541</v>
      </c>
      <c r="E61" s="8" t="n">
        <v>3</v>
      </c>
      <c r="F61" s="7" t="n">
        <v>2.0051</v>
      </c>
      <c r="G61" s="4" t="inlineStr">
        <is>
          <t>2026-06-30</t>
        </is>
      </c>
      <c r="H61" s="4" t="inlineStr">
        <is>
          <t>ASX monthly report</t>
        </is>
      </c>
      <c r="I61" s="8" t="n">
        <v>44</v>
      </c>
      <c r="J61" s="9" t="n">
        <v>0.04528</v>
      </c>
      <c r="K61" s="9" t="n">
        <v>0.02738</v>
      </c>
      <c r="L61" s="9" t="n">
        <v>0.006994</v>
      </c>
      <c r="M61" s="10" t="n"/>
      <c r="N61" s="7" t="n">
        <v>2.0186</v>
      </c>
      <c r="O61" s="9" t="n">
        <v>0.006687803428118531</v>
      </c>
      <c r="P61" s="5" t="inlineStr">
        <is>
          <t>Discount is not far enough from its own average to beat the uncertainty in our NAV</t>
        </is>
      </c>
      <c r="Q61" s="5" t="inlineStr">
        <is>
          <t>none needed - the discount is within its own estimate's error band, so there is no current dislocation to signal</t>
        </is>
      </c>
    </row>
    <row r="62">
      <c r="A62" s="4" t="inlineStr">
        <is>
          <t>GFL</t>
        </is>
      </c>
      <c r="B62" s="5" t="inlineStr">
        <is>
          <t>Global Masters Fund Limited</t>
        </is>
      </c>
      <c r="C62" s="11" t="inlineStr">
        <is>
          <t>AMBER</t>
        </is>
      </c>
      <c r="D62" s="7" t="n">
        <v>2.900000095367432</v>
      </c>
      <c r="E62" s="8" t="n">
        <v>3</v>
      </c>
      <c r="F62" s="7" t="n">
        <v>4.441</v>
      </c>
      <c r="G62" s="4" t="inlineStr">
        <is>
          <t>2026-08-12</t>
        </is>
      </c>
      <c r="H62" s="4" t="inlineStr">
        <is>
          <t>Monthly report</t>
        </is>
      </c>
      <c r="I62" s="8" t="n">
        <v>13</v>
      </c>
      <c r="J62" s="9" t="n">
        <v>0.173351</v>
      </c>
      <c r="K62" s="9" t="n">
        <v>-0.346994</v>
      </c>
      <c r="L62" s="9" t="n">
        <v>-0.290115</v>
      </c>
      <c r="M62" s="10" t="n"/>
      <c r="N62" s="7" t="n">
        <v>4.428</v>
      </c>
      <c r="O62" s="9" t="n">
        <v>0.00293586269196023</v>
      </c>
      <c r="P62" s="5" t="inlineStr">
        <is>
          <t>Discount is not far enough from its own average to beat the uncertainty in our NAV</t>
        </is>
      </c>
      <c r="Q62" s="5" t="inlineStr">
        <is>
          <t>none needed - the discount is within its own estimate's error band, so there is no current dislocation to signal</t>
        </is>
      </c>
    </row>
    <row r="63">
      <c r="A63" s="4" t="inlineStr">
        <is>
          <t>GVF</t>
        </is>
      </c>
      <c r="B63" s="5" t="inlineStr">
        <is>
          <t>Staude Capital Global Value Fund Limited</t>
        </is>
      </c>
      <c r="C63" s="11" t="inlineStr">
        <is>
          <t>AMBER</t>
        </is>
      </c>
      <c r="D63" s="7" t="n">
        <v>1.365000009536743</v>
      </c>
      <c r="E63" s="8" t="n">
        <v>3</v>
      </c>
      <c r="F63" s="7" t="n">
        <v>1.312</v>
      </c>
      <c r="G63" s="4" t="inlineStr">
        <is>
          <t>2026-07-31</t>
        </is>
      </c>
      <c r="H63" s="4" t="inlineStr">
        <is>
          <t>Monthly report</t>
        </is>
      </c>
      <c r="I63" s="8" t="n">
        <v>21</v>
      </c>
      <c r="J63" s="9" t="n">
        <v>0.060962</v>
      </c>
      <c r="K63" s="9" t="n">
        <v>0.040396</v>
      </c>
      <c r="L63" s="9" t="n">
        <v>-0.015125</v>
      </c>
      <c r="M63" s="10" t="n"/>
      <c r="N63" s="7" t="n">
        <v>1.3103</v>
      </c>
      <c r="O63" s="9" t="n">
        <v>0.001297412806227608</v>
      </c>
      <c r="P63" s="5" t="inlineStr">
        <is>
          <t>Discount is not far enough from its own average to beat the uncertainty in our NAV</t>
        </is>
      </c>
      <c r="Q63" s="5" t="inlineStr">
        <is>
          <t>none needed - the discount is within its own estimate's error band, so there is no current dislocation to signal</t>
        </is>
      </c>
    </row>
    <row r="64">
      <c r="A64" s="4" t="inlineStr">
        <is>
          <t>HM1</t>
        </is>
      </c>
      <c r="B64" s="5" t="inlineStr">
        <is>
          <t>Hearts and Minds Investments Limited</t>
        </is>
      </c>
      <c r="C64" s="11" t="inlineStr">
        <is>
          <t>AMBER</t>
        </is>
      </c>
      <c r="D64" s="7" t="n">
        <v>3.140000104904175</v>
      </c>
      <c r="E64" s="8" t="n">
        <v>3</v>
      </c>
      <c r="F64" s="7" t="n">
        <v>3.67</v>
      </c>
      <c r="G64" s="4" t="inlineStr">
        <is>
          <t>2026-06-30</t>
        </is>
      </c>
      <c r="H64" s="4" t="inlineStr">
        <is>
          <t>ASX monthly report</t>
        </is>
      </c>
      <c r="I64" s="8" t="n">
        <v>44</v>
      </c>
      <c r="J64" s="9" t="n">
        <v>0.123828</v>
      </c>
      <c r="K64" s="9" t="n">
        <v>-0.144414</v>
      </c>
      <c r="L64" s="9" t="n">
        <v>-0.149868</v>
      </c>
      <c r="M64" s="10" t="n"/>
      <c r="N64" s="7" t="n">
        <v>3.52</v>
      </c>
      <c r="O64" s="9" t="n">
        <v>0.04261363636363634</v>
      </c>
      <c r="P64" s="5" t="inlineStr">
        <is>
          <t>Discount is not far enough from its own average to beat the uncertainty in our NAV</t>
        </is>
      </c>
      <c r="Q64" s="5" t="inlineStr">
        <is>
          <t>none needed - the discount is within its own estimate's error band, so there is no current dislocation to signal</t>
        </is>
      </c>
    </row>
    <row r="65">
      <c r="A65" s="4" t="inlineStr">
        <is>
          <t>KKC</t>
        </is>
      </c>
      <c r="B65" s="5" t="inlineStr">
        <is>
          <t>KKR Credit Income Fund</t>
        </is>
      </c>
      <c r="C65" s="11" t="inlineStr">
        <is>
          <t>AMBER</t>
        </is>
      </c>
      <c r="D65" s="7" t="n">
        <v>2.150000095367432</v>
      </c>
      <c r="E65" s="8" t="n">
        <v>3</v>
      </c>
      <c r="F65" s="7" t="n">
        <v>2.32</v>
      </c>
      <c r="G65" s="4" t="inlineStr">
        <is>
          <t>2026-08-25</t>
        </is>
      </c>
      <c r="H65" s="4" t="inlineStr">
        <is>
          <t>Fund's own NTA announcement</t>
        </is>
      </c>
      <c r="I65" s="8" t="n">
        <v>4</v>
      </c>
      <c r="J65" s="9" t="n">
        <v>0.018934</v>
      </c>
      <c r="K65" s="9" t="n">
        <v>-0.07327599999999999</v>
      </c>
      <c r="L65" s="9" t="n">
        <v>-0.076235</v>
      </c>
      <c r="M65" s="10" t="n"/>
      <c r="N65" s="7" t="n">
        <v>2.3528</v>
      </c>
      <c r="O65" s="9" t="n">
        <v>0.01394083645018699</v>
      </c>
      <c r="P65" s="5" t="inlineStr">
        <is>
          <t>Discount is not far enough from its own average to beat the uncertainty in our NAV</t>
        </is>
      </c>
      <c r="Q65" s="5" t="inlineStr">
        <is>
          <t>none needed - the discount is within its own estimate's error band, so there is no current dislocation to signal</t>
        </is>
      </c>
    </row>
    <row r="66">
      <c r="A66" s="4" t="inlineStr">
        <is>
          <t>LRT</t>
        </is>
      </c>
      <c r="B66" s="5" t="inlineStr">
        <is>
          <t>Lowell Resources Fund</t>
        </is>
      </c>
      <c r="C66" s="11" t="inlineStr">
        <is>
          <t>AMBER</t>
        </is>
      </c>
      <c r="D66" s="7" t="n">
        <v>2.150000095367432</v>
      </c>
      <c r="E66" s="8" t="n">
        <v>3</v>
      </c>
      <c r="F66" s="7" t="n">
        <v>2.7208</v>
      </c>
      <c r="G66" s="4" t="inlineStr">
        <is>
          <t>2026-08-21</t>
        </is>
      </c>
      <c r="H66" s="4" t="inlineStr">
        <is>
          <t>Fund's own NTA announcement</t>
        </is>
      </c>
      <c r="I66" s="8" t="n">
        <v>6</v>
      </c>
      <c r="J66" s="9" t="n">
        <v>0.07609399999999999</v>
      </c>
      <c r="K66" s="9" t="n">
        <v>-0.209791</v>
      </c>
      <c r="L66" s="9" t="n">
        <v>-0.159978</v>
      </c>
      <c r="M66" s="10" t="n"/>
      <c r="N66" s="7" t="n">
        <v>2.5375</v>
      </c>
      <c r="O66" s="9" t="n">
        <v>0.07223645320197045</v>
      </c>
      <c r="P66" s="5" t="inlineStr">
        <is>
          <t>Discount is not far enough from its own average to beat the uncertainty in our NAV</t>
        </is>
      </c>
      <c r="Q66" s="5" t="inlineStr">
        <is>
          <t>none needed - the discount is within its own estimate's error band, so there is no current dislocation to signal</t>
        </is>
      </c>
    </row>
    <row r="67">
      <c r="A67" s="4" t="inlineStr">
        <is>
          <t>MEC</t>
        </is>
      </c>
      <c r="B67" s="5" t="inlineStr">
        <is>
          <t>Morphic Ethical Equities Fund Limited</t>
        </is>
      </c>
      <c r="C67" s="11" t="inlineStr">
        <is>
          <t>AMBER</t>
        </is>
      </c>
      <c r="D67" s="7" t="n">
        <v>1.195000052452087</v>
      </c>
      <c r="E67" s="8" t="n">
        <v>3</v>
      </c>
      <c r="F67" s="7" t="n">
        <v>1.3826</v>
      </c>
      <c r="G67" s="4" t="inlineStr">
        <is>
          <t>2026-08-21</t>
        </is>
      </c>
      <c r="H67" s="4" t="inlineStr">
        <is>
          <t>Fund's own NTA announcement</t>
        </is>
      </c>
      <c r="I67" s="8" t="n">
        <v>6</v>
      </c>
      <c r="J67" s="9" t="n">
        <v>0.034768</v>
      </c>
      <c r="K67" s="9" t="n">
        <v>-0.135686</v>
      </c>
      <c r="L67" s="9" t="n">
        <v>-0.114048</v>
      </c>
      <c r="M67" s="10" t="n"/>
      <c r="N67" s="7" t="n">
        <v>1.6021</v>
      </c>
      <c r="O67" s="9" t="n">
        <v>0.1370076774233818</v>
      </c>
      <c r="P67" s="5" t="inlineStr">
        <is>
          <t>Discount is not far enough from its own average to beat the uncertainty in our NAV</t>
        </is>
      </c>
      <c r="Q67" s="5" t="inlineStr">
        <is>
          <t>none needed - the discount is within its own estimate's error band, so there is no current dislocation to signal</t>
        </is>
      </c>
    </row>
    <row r="68">
      <c r="A68" s="4" t="inlineStr">
        <is>
          <t>NAC</t>
        </is>
      </c>
      <c r="B68" s="5" t="inlineStr">
        <is>
          <t>Naos Ex-50 Opportunities Company Limited</t>
        </is>
      </c>
      <c r="C68" s="11" t="inlineStr">
        <is>
          <t>AMBER</t>
        </is>
      </c>
      <c r="D68" s="7" t="n">
        <v>0.6200000047683716</v>
      </c>
      <c r="E68" s="8" t="n">
        <v>3</v>
      </c>
      <c r="F68" s="7" t="n">
        <v>0.65</v>
      </c>
      <c r="G68" s="4" t="inlineStr">
        <is>
          <t>2026-07-31</t>
        </is>
      </c>
      <c r="H68" s="4" t="inlineStr">
        <is>
          <t>Fund's own NTA announcement</t>
        </is>
      </c>
      <c r="I68" s="8" t="n">
        <v>21</v>
      </c>
      <c r="J68" s="9" t="n">
        <v>0.133197</v>
      </c>
      <c r="K68" s="9" t="n">
        <v>-0.046154</v>
      </c>
      <c r="L68" s="9" t="n">
        <v>-0.076691</v>
      </c>
      <c r="M68" s="10" t="n"/>
      <c r="N68" s="7" t="n">
        <v>0.52</v>
      </c>
      <c r="O68" s="9" t="n">
        <v>0.25</v>
      </c>
      <c r="P68" s="5" t="inlineStr">
        <is>
          <t>Discount is not far enough from its own average to beat the uncertainty in our NAV</t>
        </is>
      </c>
      <c r="Q68" s="5" t="inlineStr">
        <is>
          <t>none needed - the discount is within its own estimate's error band, so there is no current dislocation to signal</t>
        </is>
      </c>
    </row>
    <row r="69">
      <c r="A69" s="4" t="inlineStr">
        <is>
          <t>NCC</t>
        </is>
      </c>
      <c r="B69" s="5" t="inlineStr">
        <is>
          <t>Naos Emerging Opportunities Company Limited</t>
        </is>
      </c>
      <c r="C69" s="11" t="inlineStr">
        <is>
          <t>AMBER</t>
        </is>
      </c>
      <c r="D69" s="7" t="n">
        <v>0.4650000035762787</v>
      </c>
      <c r="E69" s="8" t="n">
        <v>3</v>
      </c>
      <c r="F69" s="7" t="n">
        <v>0.54</v>
      </c>
      <c r="G69" s="4" t="inlineStr">
        <is>
          <t>2026-07-31</t>
        </is>
      </c>
      <c r="H69" s="4" t="inlineStr">
        <is>
          <t>Fund's own NTA announcement</t>
        </is>
      </c>
      <c r="I69" s="8" t="n">
        <v>21</v>
      </c>
      <c r="J69" s="9" t="n">
        <v>0.107804</v>
      </c>
      <c r="K69" s="9" t="n">
        <v>-0.138889</v>
      </c>
      <c r="L69" s="9" t="n">
        <v>-0.102401</v>
      </c>
      <c r="M69" s="10" t="n"/>
      <c r="N69" s="7" t="n">
        <v>0.47</v>
      </c>
      <c r="O69" s="9" t="n">
        <v>0.1489361702127661</v>
      </c>
      <c r="P69" s="5" t="inlineStr">
        <is>
          <t>Discount is not far enough from its own average to beat the uncertainty in our NAV</t>
        </is>
      </c>
      <c r="Q69" s="5" t="inlineStr">
        <is>
          <t>none needed - the discount is within its own estimate's error band, so there is no current dislocation to signal</t>
        </is>
      </c>
    </row>
    <row r="70">
      <c r="A70" s="4" t="inlineStr">
        <is>
          <t>NGE</t>
        </is>
      </c>
      <c r="B70" s="5" t="inlineStr">
        <is>
          <t>NGE Capital Limited</t>
        </is>
      </c>
      <c r="C70" s="11" t="inlineStr">
        <is>
          <t>AMBER</t>
        </is>
      </c>
      <c r="D70" s="7" t="n">
        <v>1.315000057220459</v>
      </c>
      <c r="E70" s="8" t="n">
        <v>3</v>
      </c>
      <c r="F70" s="7" t="n">
        <v>1.583</v>
      </c>
      <c r="G70" s="4" t="inlineStr">
        <is>
          <t>2026-07-31</t>
        </is>
      </c>
      <c r="H70" s="4" t="inlineStr">
        <is>
          <t>Fund's own NTA announcement</t>
        </is>
      </c>
      <c r="I70" s="8" t="n">
        <v>21</v>
      </c>
      <c r="J70" s="9" t="n">
        <v>0.082978</v>
      </c>
      <c r="K70" s="9" t="n">
        <v>-0.169299</v>
      </c>
      <c r="L70" s="9" t="n">
        <v>-0.187836</v>
      </c>
      <c r="M70" s="10" t="n"/>
      <c r="N70" s="7" t="n">
        <v>1.59</v>
      </c>
      <c r="O70" s="9" t="n">
        <v>0.004402515723270514</v>
      </c>
      <c r="P70" s="5" t="inlineStr">
        <is>
          <t>Discount is not far enough from its own average to beat the uncertainty in our NAV</t>
        </is>
      </c>
      <c r="Q70" s="5" t="inlineStr">
        <is>
          <t>none needed - the discount is within its own estimate's error band, so there is no current dislocation to signal</t>
        </is>
      </c>
    </row>
    <row r="71">
      <c r="A71" s="4" t="inlineStr">
        <is>
          <t>PCI</t>
        </is>
      </c>
      <c r="B71" s="5" t="inlineStr">
        <is>
          <t>Perpetual Credit Income Trust</t>
        </is>
      </c>
      <c r="C71" s="11" t="inlineStr">
        <is>
          <t>AMBER</t>
        </is>
      </c>
      <c r="D71" s="7" t="n">
        <v>1.100000023841858</v>
      </c>
      <c r="E71" s="8" t="n">
        <v>3</v>
      </c>
      <c r="F71" s="7" t="n">
        <v>1.099</v>
      </c>
      <c r="G71" s="4" t="inlineStr">
        <is>
          <t>2026-06-30</t>
        </is>
      </c>
      <c r="H71" s="4" t="inlineStr">
        <is>
          <t>ASX monthly report</t>
        </is>
      </c>
      <c r="I71" s="8" t="n">
        <v>44</v>
      </c>
      <c r="J71" s="9" t="n">
        <v>0.068201</v>
      </c>
      <c r="K71" s="9" t="n">
        <v>0.00091</v>
      </c>
      <c r="L71" s="9" t="n">
        <v>0.016974</v>
      </c>
      <c r="M71" s="10" t="n"/>
      <c r="N71" s="7" t="n">
        <v>1.096</v>
      </c>
      <c r="O71" s="9" t="n">
        <v>0.002737226277372164</v>
      </c>
      <c r="P71" s="5" t="inlineStr">
        <is>
          <t>Discount is not far enough from its own average to beat the uncertainty in our NAV</t>
        </is>
      </c>
      <c r="Q71" s="5" t="inlineStr">
        <is>
          <t>none needed - the discount is within its own estimate's error band, so there is no current dislocation to signal</t>
        </is>
      </c>
    </row>
    <row r="72">
      <c r="A72" s="4" t="inlineStr">
        <is>
          <t>PCX</t>
        </is>
      </c>
      <c r="B72" s="5" t="inlineStr">
        <is>
          <t>Pengana Global Private Credit Trust</t>
        </is>
      </c>
      <c r="C72" s="11" t="inlineStr">
        <is>
          <t>AMBER</t>
        </is>
      </c>
      <c r="D72" s="7" t="n">
        <v>1.990000009536743</v>
      </c>
      <c r="E72" s="8" t="n">
        <v>3</v>
      </c>
      <c r="F72" s="7" t="n">
        <v>1.9825</v>
      </c>
      <c r="G72" s="4" t="inlineStr">
        <is>
          <t>2026-06-30</t>
        </is>
      </c>
      <c r="H72" s="4" t="inlineStr">
        <is>
          <t>ASX monthly report</t>
        </is>
      </c>
      <c r="I72" s="8" t="n">
        <v>44</v>
      </c>
      <c r="J72" s="9" t="n">
        <v>0.07004199999999999</v>
      </c>
      <c r="K72" s="9" t="n">
        <v>0.003783</v>
      </c>
      <c r="L72" s="9" t="n">
        <v>0.008056000000000001</v>
      </c>
      <c r="M72" s="10" t="n"/>
      <c r="N72" s="7" t="n">
        <v>1.9819</v>
      </c>
      <c r="O72" s="9" t="n">
        <v>0.0003027397951460386</v>
      </c>
      <c r="P72" s="5" t="inlineStr">
        <is>
          <t>Discount is not far enough from its own average to beat the uncertainty in our NAV</t>
        </is>
      </c>
      <c r="Q72" s="5" t="inlineStr">
        <is>
          <t>none needed - the discount is within its own estimate's error band, so there is no current dislocation to signal</t>
        </is>
      </c>
    </row>
    <row r="73">
      <c r="A73" s="4" t="inlineStr">
        <is>
          <t>PE1</t>
        </is>
      </c>
      <c r="B73" s="5" t="inlineStr">
        <is>
          <t>Pengana Private Equity Trust</t>
        </is>
      </c>
      <c r="C73" s="11" t="inlineStr">
        <is>
          <t>AMBER</t>
        </is>
      </c>
      <c r="D73" s="7" t="n">
        <v>1.482499957084656</v>
      </c>
      <c r="E73" s="8" t="n">
        <v>3</v>
      </c>
      <c r="F73" s="7" t="n">
        <v>1.9532</v>
      </c>
      <c r="G73" s="4" t="inlineStr">
        <is>
          <t>2026-06-30</t>
        </is>
      </c>
      <c r="H73" s="4" t="inlineStr">
        <is>
          <t>ASX monthly report</t>
        </is>
      </c>
      <c r="I73" s="8" t="n">
        <v>44</v>
      </c>
      <c r="J73" s="9" t="n">
        <v>0.159426</v>
      </c>
      <c r="K73" s="9" t="n">
        <v>-0.240989</v>
      </c>
      <c r="L73" s="9" t="n">
        <v>-0.141187</v>
      </c>
      <c r="M73" s="10" t="n"/>
      <c r="N73" s="7" t="n">
        <v>1.628</v>
      </c>
      <c r="O73" s="9" t="n">
        <v>0.1997542997542997</v>
      </c>
      <c r="P73" s="5" t="inlineStr">
        <is>
          <t>Discount is not far enough from its own average to beat the uncertainty in our NAV</t>
        </is>
      </c>
      <c r="Q73" s="5" t="inlineStr">
        <is>
          <t>none needed - the discount is within its own estimate's error band, so there is no current dislocation to signal</t>
        </is>
      </c>
    </row>
    <row r="74">
      <c r="A74" s="4" t="inlineStr">
        <is>
          <t>PGF</t>
        </is>
      </c>
      <c r="B74" s="5" t="inlineStr">
        <is>
          <t>PM Capital Global Opportunities Fund Limited</t>
        </is>
      </c>
      <c r="C74" s="11" t="inlineStr">
        <is>
          <t>AMBER</t>
        </is>
      </c>
      <c r="D74" s="7" t="n">
        <v>3.25</v>
      </c>
      <c r="E74" s="8" t="n">
        <v>3</v>
      </c>
      <c r="F74" s="7" t="n">
        <v>3.09</v>
      </c>
      <c r="G74" s="4" t="inlineStr">
        <is>
          <t>2026-08-28</t>
        </is>
      </c>
      <c r="H74" s="4" t="inlineStr">
        <is>
          <t>Fund's earlier published NTA</t>
        </is>
      </c>
      <c r="I74" s="8" t="n">
        <v>1</v>
      </c>
      <c r="J74" s="9" t="n">
        <v>0.019054</v>
      </c>
      <c r="K74" s="9" t="n">
        <v>0.05178</v>
      </c>
      <c r="L74" s="9" t="n">
        <v>0.041822</v>
      </c>
      <c r="M74" s="10" t="n"/>
      <c r="N74" s="7" t="n">
        <v>2.8795</v>
      </c>
      <c r="O74" s="9" t="n">
        <v>0.07310296926549736</v>
      </c>
      <c r="P74" s="5" t="inlineStr">
        <is>
          <t>Discount is not far enough from its own average to beat the uncertainty in our NAV</t>
        </is>
      </c>
      <c r="Q74" s="5" t="inlineStr">
        <is>
          <t>none needed - the discount is within its own estimate's error band, so there is no current dislocation to signal</t>
        </is>
      </c>
    </row>
    <row r="75">
      <c r="A75" s="4" t="inlineStr">
        <is>
          <t>RG8</t>
        </is>
      </c>
      <c r="B75" s="5" t="inlineStr">
        <is>
          <t>Regal Asian Investments Limited</t>
        </is>
      </c>
      <c r="C75" s="11" t="inlineStr">
        <is>
          <t>AMBER</t>
        </is>
      </c>
      <c r="D75" s="7" t="n">
        <v>2.609999895095825</v>
      </c>
      <c r="E75" s="8" t="n">
        <v>3</v>
      </c>
      <c r="F75" s="7" t="n">
        <v>3.16</v>
      </c>
      <c r="G75" s="4" t="inlineStr">
        <is>
          <t>2026-08-23</t>
        </is>
      </c>
      <c r="H75" s="4" t="inlineStr">
        <is>
          <t>Fund's own NTA announcement</t>
        </is>
      </c>
      <c r="I75" s="8" t="n">
        <v>5</v>
      </c>
      <c r="J75" s="9" t="n">
        <v>0.051297</v>
      </c>
      <c r="K75" s="9" t="n">
        <v>-0.174051</v>
      </c>
      <c r="L75" s="9" t="n">
        <v>-0.15108</v>
      </c>
      <c r="M75" s="10" t="n"/>
      <c r="N75" s="7" t="n">
        <v>3.3</v>
      </c>
      <c r="O75" s="9" t="n">
        <v>0.04242424242424233</v>
      </c>
      <c r="P75" s="5" t="inlineStr">
        <is>
          <t>Discount is not far enough from its own average to beat the uncertainty in our NAV</t>
        </is>
      </c>
      <c r="Q75" s="5" t="inlineStr">
        <is>
          <t>none needed - the discount is within its own estimate's error band, so there is no current dislocation to signal</t>
        </is>
      </c>
    </row>
    <row r="76">
      <c r="A76" s="4" t="inlineStr">
        <is>
          <t>TCF</t>
        </is>
      </c>
      <c r="B76" s="5" t="inlineStr">
        <is>
          <t>360 Capital Mortgage REIT</t>
        </is>
      </c>
      <c r="C76" s="11" t="inlineStr">
        <is>
          <t>AMBER</t>
        </is>
      </c>
      <c r="D76" s="7" t="n">
        <v>5.400000095367432</v>
      </c>
      <c r="E76" s="8" t="n">
        <v>3</v>
      </c>
      <c r="F76" s="7" t="n">
        <v>5.941</v>
      </c>
      <c r="G76" s="4" t="inlineStr">
        <is>
          <t>2026-06-30</t>
        </is>
      </c>
      <c r="H76" s="4" t="inlineStr">
        <is>
          <t>ASX monthly report</t>
        </is>
      </c>
      <c r="I76" s="8" t="n">
        <v>44</v>
      </c>
      <c r="J76" s="9" t="n">
        <v>0.062163</v>
      </c>
      <c r="K76" s="9" t="n">
        <v>-0.091062</v>
      </c>
      <c r="L76" s="9" t="n">
        <v>-0.050115</v>
      </c>
      <c r="M76" s="10" t="n"/>
      <c r="N76" s="7" t="n">
        <v>5.948</v>
      </c>
      <c r="O76" s="9" t="n">
        <v>0.001176866173503793</v>
      </c>
      <c r="P76" s="5" t="inlineStr">
        <is>
          <t>Discount is not far enough from its own average to beat the uncertainty in our NAV</t>
        </is>
      </c>
      <c r="Q76" s="5" t="inlineStr">
        <is>
          <t>none needed - the discount is within its own estimate's error band, so there is no current dislocation to signal</t>
        </is>
      </c>
    </row>
    <row r="77">
      <c r="A77" s="4" t="inlineStr">
        <is>
          <t>TOP</t>
        </is>
      </c>
      <c r="B77" s="5" t="inlineStr">
        <is>
          <t>Thorney Opportunities Ltd</t>
        </is>
      </c>
      <c r="C77" s="11" t="inlineStr">
        <is>
          <t>AMBER</t>
        </is>
      </c>
      <c r="D77" s="7" t="n">
        <v>0.5899999737739563</v>
      </c>
      <c r="E77" s="8" t="n">
        <v>3</v>
      </c>
      <c r="F77" s="7" t="n">
        <v>0.959</v>
      </c>
      <c r="G77" s="4" t="inlineStr">
        <is>
          <t>2026-06-30</t>
        </is>
      </c>
      <c r="H77" s="4" t="inlineStr">
        <is>
          <t>ASX monthly report</t>
        </is>
      </c>
      <c r="I77" s="8" t="n">
        <v>44</v>
      </c>
      <c r="J77" s="9" t="n">
        <v>0.363444</v>
      </c>
      <c r="K77" s="9" t="n">
        <v>-0.384776</v>
      </c>
      <c r="L77" s="9" t="n">
        <v>-0.346139</v>
      </c>
      <c r="M77" s="10" t="n"/>
      <c r="N77" s="7" t="n">
        <v>0.9280000000000002</v>
      </c>
      <c r="O77" s="9" t="n">
        <v>0.03340517241379289</v>
      </c>
      <c r="P77" s="5" t="inlineStr">
        <is>
          <t>Discount is not far enough from its own average to beat the uncertainty in our NAV</t>
        </is>
      </c>
      <c r="Q77" s="5" t="inlineStr">
        <is>
          <t>none needed - the discount is within its own estimate's error band, so there is no current dislocation to signal</t>
        </is>
      </c>
    </row>
    <row r="78">
      <c r="A78" s="4" t="inlineStr">
        <is>
          <t>WAA</t>
        </is>
      </c>
      <c r="B78" s="5" t="inlineStr">
        <is>
          <t>WAM Active Limited</t>
        </is>
      </c>
      <c r="C78" s="11" t="inlineStr">
        <is>
          <t>AMBER</t>
        </is>
      </c>
      <c r="D78" s="7" t="n">
        <v>1.070000052452087</v>
      </c>
      <c r="E78" s="8" t="n">
        <v>3</v>
      </c>
      <c r="F78" s="7" t="n">
        <v>1.1545</v>
      </c>
      <c r="G78" s="4" t="inlineStr">
        <is>
          <t>2026-06-30</t>
        </is>
      </c>
      <c r="H78" s="4" t="inlineStr">
        <is>
          <t>ASX monthly report</t>
        </is>
      </c>
      <c r="I78" s="8" t="n">
        <v>44</v>
      </c>
      <c r="J78" s="9" t="n">
        <v>0.245313</v>
      </c>
      <c r="K78" s="9" t="n">
        <v>-0.07319199999999999</v>
      </c>
      <c r="L78" s="9" t="n">
        <v>-0.02201</v>
      </c>
      <c r="M78" s="10" t="n"/>
      <c r="N78" s="7" t="n">
        <v>1.0663</v>
      </c>
      <c r="O78" s="9" t="n">
        <v>0.0827159336021758</v>
      </c>
      <c r="P78" s="5" t="inlineStr">
        <is>
          <t>Discount is not far enough from its own average to beat the uncertainty in our NAV</t>
        </is>
      </c>
      <c r="Q78" s="5" t="inlineStr">
        <is>
          <t>none needed - the discount is within its own estimate's error band, so there is no current dislocation to signal</t>
        </is>
      </c>
    </row>
    <row r="79">
      <c r="A79" s="4" t="inlineStr">
        <is>
          <t>WAM</t>
        </is>
      </c>
      <c r="B79" s="5" t="inlineStr">
        <is>
          <t>WAM Capital Limited</t>
        </is>
      </c>
      <c r="C79" s="11" t="inlineStr">
        <is>
          <t>AMBER</t>
        </is>
      </c>
      <c r="D79" s="7" t="n">
        <v>1.230000019073486</v>
      </c>
      <c r="E79" s="8" t="n">
        <v>3</v>
      </c>
      <c r="F79" s="7" t="n">
        <v>1.222</v>
      </c>
      <c r="G79" s="4" t="inlineStr">
        <is>
          <t>2026-06-30</t>
        </is>
      </c>
      <c r="H79" s="4" t="inlineStr">
        <is>
          <t>ASX monthly report</t>
        </is>
      </c>
      <c r="I79" s="8" t="n">
        <v>44</v>
      </c>
      <c r="J79" s="9" t="n">
        <v>0.1286</v>
      </c>
      <c r="K79" s="9" t="n">
        <v>0.006547</v>
      </c>
      <c r="L79" s="9" t="n">
        <v>0.074308</v>
      </c>
      <c r="M79" s="10" t="n"/>
      <c r="N79" s="7" t="n">
        <v>1.2085</v>
      </c>
      <c r="O79" s="9" t="n">
        <v>0.01117087298303688</v>
      </c>
      <c r="P79" s="5" t="inlineStr">
        <is>
          <t>Discount is not far enough from its own average to beat the uncertainty in our NAV</t>
        </is>
      </c>
      <c r="Q79" s="5" t="inlineStr">
        <is>
          <t>none needed - the discount is within its own estimate's error band, so there is no current dislocation to signal</t>
        </is>
      </c>
    </row>
    <row r="80">
      <c r="A80" s="4" t="inlineStr">
        <is>
          <t>WAX</t>
        </is>
      </c>
      <c r="B80" s="5" t="inlineStr">
        <is>
          <t>WAM Research Limited</t>
        </is>
      </c>
      <c r="C80" s="11" t="inlineStr">
        <is>
          <t>AMBER</t>
        </is>
      </c>
      <c r="D80" s="7" t="n">
        <v>0.9300000071525574</v>
      </c>
      <c r="E80" s="8" t="n">
        <v>3</v>
      </c>
      <c r="F80" s="7" t="n">
        <v>0.7827999999999999</v>
      </c>
      <c r="G80" s="4" t="inlineStr">
        <is>
          <t>2026-06-30</t>
        </is>
      </c>
      <c r="H80" s="4" t="inlineStr">
        <is>
          <t>ASX monthly report</t>
        </is>
      </c>
      <c r="I80" s="8" t="n">
        <v>44</v>
      </c>
      <c r="J80" s="9" t="n">
        <v>0.17942</v>
      </c>
      <c r="K80" s="9" t="n">
        <v>0.188043</v>
      </c>
      <c r="L80" s="9" t="n">
        <v>0.125379</v>
      </c>
      <c r="M80" s="10" t="n"/>
      <c r="N80" s="7" t="n">
        <v>0.7749</v>
      </c>
      <c r="O80" s="9" t="n">
        <v>0.01019486385340032</v>
      </c>
      <c r="P80" s="5" t="inlineStr">
        <is>
          <t>Discount is not far enough from its own average to beat the uncertainty in our NAV</t>
        </is>
      </c>
      <c r="Q80" s="5" t="inlineStr">
        <is>
          <t>none needed - the discount is within its own estimate's error band, so there is no current dislocation to signal</t>
        </is>
      </c>
    </row>
    <row r="81">
      <c r="A81" s="4" t="inlineStr">
        <is>
          <t>WGB</t>
        </is>
      </c>
      <c r="B81" s="5" t="inlineStr">
        <is>
          <t>WAM Global Limited</t>
        </is>
      </c>
      <c r="C81" s="11" t="inlineStr">
        <is>
          <t>AMBER</t>
        </is>
      </c>
      <c r="D81" s="7" t="n">
        <v>2.130000114440918</v>
      </c>
      <c r="E81" s="8" t="n">
        <v>3</v>
      </c>
      <c r="F81" s="7" t="n">
        <v>2.235</v>
      </c>
      <c r="G81" s="4" t="inlineStr">
        <is>
          <t>2026-06-30</t>
        </is>
      </c>
      <c r="H81" s="4" t="inlineStr">
        <is>
          <t>ASX monthly report</t>
        </is>
      </c>
      <c r="I81" s="8" t="n">
        <v>44</v>
      </c>
      <c r="J81" s="9" t="n">
        <v>0.144636</v>
      </c>
      <c r="K81" s="9" t="n">
        <v>-0.04698</v>
      </c>
      <c r="L81" s="9" t="n">
        <v>-0.076006</v>
      </c>
      <c r="M81" s="10" t="n"/>
      <c r="N81" s="7" t="n">
        <v>2.1849</v>
      </c>
      <c r="O81" s="9" t="n">
        <v>0.02293011121790473</v>
      </c>
      <c r="P81" s="5" t="inlineStr">
        <is>
          <t>Discount is not far enough from its own average to beat the uncertainty in our NAV</t>
        </is>
      </c>
      <c r="Q81" s="5" t="inlineStr">
        <is>
          <t>none needed - the discount is within its own estimate's error band, so there is no current dislocation to signal</t>
        </is>
      </c>
    </row>
    <row r="82">
      <c r="A82" s="4" t="inlineStr">
        <is>
          <t>WLE</t>
        </is>
      </c>
      <c r="B82" s="5" t="inlineStr">
        <is>
          <t>WAM Leaders Limited</t>
        </is>
      </c>
      <c r="C82" s="11" t="inlineStr">
        <is>
          <t>AMBER</t>
        </is>
      </c>
      <c r="D82" s="7" t="n">
        <v>1.330000042915344</v>
      </c>
      <c r="E82" s="8" t="n">
        <v>3</v>
      </c>
      <c r="F82" s="7" t="n">
        <v>1.34</v>
      </c>
      <c r="G82" s="4" t="inlineStr">
        <is>
          <t>2026-08-18</t>
        </is>
      </c>
      <c r="H82" s="4" t="inlineStr">
        <is>
          <t>Fund's own NTA announcement</t>
        </is>
      </c>
      <c r="I82" s="8" t="n">
        <v>9</v>
      </c>
      <c r="J82" s="9" t="n">
        <v>0.035129</v>
      </c>
      <c r="K82" s="9" t="n">
        <v>-0.007463</v>
      </c>
      <c r="L82" s="9" t="n">
        <v>-0.009871</v>
      </c>
      <c r="M82" s="10" t="n"/>
      <c r="N82" s="7" t="n">
        <v>1.3327</v>
      </c>
      <c r="O82" s="9" t="n">
        <v>0.005477601860883983</v>
      </c>
      <c r="P82" s="5" t="inlineStr">
        <is>
          <t>Discount is not far enough from its own average to beat the uncertainty in our NAV</t>
        </is>
      </c>
      <c r="Q82" s="5" t="inlineStr">
        <is>
          <t>none needed - the discount is within its own estimate's error band, so there is no current dislocation to signal</t>
        </is>
      </c>
    </row>
    <row r="83">
      <c r="A83" s="4" t="inlineStr">
        <is>
          <t>WMA</t>
        </is>
      </c>
      <c r="B83" s="5" t="inlineStr">
        <is>
          <t>WAM Alternative Assets Limited</t>
        </is>
      </c>
      <c r="C83" s="11" t="inlineStr">
        <is>
          <t>AMBER</t>
        </is>
      </c>
      <c r="D83" s="7" t="n">
        <v>0.9850000143051147</v>
      </c>
      <c r="E83" s="8" t="n">
        <v>3</v>
      </c>
      <c r="F83" s="7" t="n">
        <v>1.1901</v>
      </c>
      <c r="G83" s="4" t="inlineStr">
        <is>
          <t>2026-06-30</t>
        </is>
      </c>
      <c r="H83" s="4" t="inlineStr">
        <is>
          <t>ASX monthly report</t>
        </is>
      </c>
      <c r="I83" s="8" t="n">
        <v>44</v>
      </c>
      <c r="J83" s="9" t="n">
        <v>0.049486</v>
      </c>
      <c r="K83" s="9" t="n">
        <v>-0.172338</v>
      </c>
      <c r="L83" s="9" t="n">
        <v>-0.153241</v>
      </c>
      <c r="M83" s="10" t="n"/>
      <c r="N83" s="7" t="n">
        <v>1.1596</v>
      </c>
      <c r="O83" s="9" t="n">
        <v>0.02630217316315969</v>
      </c>
      <c r="P83" s="5" t="inlineStr">
        <is>
          <t>Discount is not far enough from its own average to beat the uncertainty in our NAV</t>
        </is>
      </c>
      <c r="Q83" s="5" t="inlineStr">
        <is>
          <t>none needed - the discount is within its own estimate's error band, so there is no current dislocation to signal</t>
        </is>
      </c>
    </row>
    <row r="84">
      <c r="A84" s="4" t="inlineStr">
        <is>
          <t>WMI</t>
        </is>
      </c>
      <c r="B84" s="5" t="inlineStr">
        <is>
          <t>WAM Microcap Limited</t>
        </is>
      </c>
      <c r="C84" s="11" t="inlineStr">
        <is>
          <t>AMBER</t>
        </is>
      </c>
      <c r="D84" s="7" t="n">
        <v>1.455000042915344</v>
      </c>
      <c r="E84" s="8" t="n">
        <v>3</v>
      </c>
      <c r="F84" s="7" t="n">
        <v>1.2808</v>
      </c>
      <c r="G84" s="4" t="inlineStr">
        <is>
          <t>2026-06-30</t>
        </is>
      </c>
      <c r="H84" s="4" t="inlineStr">
        <is>
          <t>ASX monthly report</t>
        </is>
      </c>
      <c r="I84" s="8" t="n">
        <v>44</v>
      </c>
      <c r="J84" s="9" t="n">
        <v>0.152079</v>
      </c>
      <c r="K84" s="9" t="n">
        <v>0.136009</v>
      </c>
      <c r="L84" s="9" t="n">
        <v>0.075457</v>
      </c>
      <c r="M84" s="10" t="n"/>
      <c r="N84" s="7" t="n">
        <v>1.241</v>
      </c>
      <c r="O84" s="9" t="n">
        <v>0.03207091055600308</v>
      </c>
      <c r="P84" s="5" t="inlineStr">
        <is>
          <t>Discount is not far enough from its own average to beat the uncertainty in our NAV</t>
        </is>
      </c>
      <c r="Q84" s="5" t="inlineStr">
        <is>
          <t>none needed - the discount is within its own estimate's error band, so there is no current dislocation to signal</t>
        </is>
      </c>
    </row>
    <row r="85">
      <c r="A85" s="4" t="inlineStr">
        <is>
          <t>ALI</t>
        </is>
      </c>
      <c r="B85" s="5" t="inlineStr">
        <is>
          <t>Argo Global Listed Infrastructure Limited</t>
        </is>
      </c>
      <c r="C85" s="12" t="inlineStr">
        <is>
          <t>RED</t>
        </is>
      </c>
      <c r="D85" s="7" t="n">
        <v>2.599999904632568</v>
      </c>
      <c r="E85" s="8" t="n">
        <v>3</v>
      </c>
      <c r="F85" s="7" t="n">
        <v>5</v>
      </c>
      <c r="G85" s="4" t="inlineStr">
        <is>
          <t>2026-08-24</t>
        </is>
      </c>
      <c r="H85" s="4" t="inlineStr">
        <is>
          <t>Fund's own NTA announcement</t>
        </is>
      </c>
      <c r="I85" s="8" t="n">
        <v>5</v>
      </c>
      <c r="J85" s="9" t="n">
        <v>0.034844</v>
      </c>
      <c r="K85" s="9" t="n">
        <v>-0.48</v>
      </c>
      <c r="L85" s="9" t="n">
        <v>-0.10814</v>
      </c>
      <c r="M85" s="10" t="n">
        <v>-9.911300000000001</v>
      </c>
      <c r="N85" s="7" t="n">
        <v>2.75</v>
      </c>
      <c r="O85" s="9" t="n">
        <v>0.8181818181818182</v>
      </c>
      <c r="P85" s="5" t="inlineStr">
        <is>
          <t>NAV jumps implausibly from this fund's own previous figure - treated as a bad reading, not a real move</t>
        </is>
      </c>
      <c r="Q85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86">
      <c r="A86" s="4" t="inlineStr">
        <is>
          <t>BHD</t>
        </is>
      </c>
      <c r="B86" s="5" t="inlineStr">
        <is>
          <t>Benjamin Hornigold Limited</t>
        </is>
      </c>
      <c r="C86" s="12" t="inlineStr">
        <is>
          <t>RED</t>
        </is>
      </c>
      <c r="D86" s="7" t="n">
        <v>0.2649999856948852</v>
      </c>
      <c r="E86" s="8" t="n">
        <v>3</v>
      </c>
      <c r="F86" s="7" t="n">
        <v>20.26</v>
      </c>
      <c r="G86" s="4" t="inlineStr">
        <is>
          <t>2026-08-14</t>
        </is>
      </c>
      <c r="H86" s="4" t="inlineStr">
        <is>
          <t>Fund's own NTA announcement</t>
        </is>
      </c>
      <c r="I86" s="8" t="n">
        <v>11</v>
      </c>
      <c r="J86" s="9" t="n">
        <v>0.107792</v>
      </c>
      <c r="K86" s="9" t="n">
        <v>-0.98692</v>
      </c>
      <c r="L86" s="9" t="n">
        <v>-0.283082</v>
      </c>
      <c r="M86" s="10" t="n">
        <v>-6.4909</v>
      </c>
      <c r="N86" s="7" t="n">
        <v>0.2828</v>
      </c>
      <c r="O86" s="9" t="n">
        <v>70.64073550212164</v>
      </c>
      <c r="P86" s="5" t="inlineStr">
        <is>
          <t>NAV jumps implausibly from this fund's own previous figure - treated as a bad reading, not a real move</t>
        </is>
      </c>
      <c r="Q86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87">
      <c r="A87" s="4" t="inlineStr">
        <is>
          <t>CD3</t>
        </is>
      </c>
      <c r="B87" s="5" t="inlineStr">
        <is>
          <t>Cd Private Equity Fund III</t>
        </is>
      </c>
      <c r="C87" s="12" t="inlineStr">
        <is>
          <t>RED</t>
        </is>
      </c>
      <c r="D87" s="7" t="n">
        <v>0.8299999833106995</v>
      </c>
      <c r="E87" s="8" t="n">
        <v>3</v>
      </c>
      <c r="F87" s="7" t="n">
        <v>0.26</v>
      </c>
      <c r="G87" s="4" t="inlineStr">
        <is>
          <t>2026-07-31</t>
        </is>
      </c>
      <c r="H87" s="4" t="inlineStr">
        <is>
          <t>Monthly report</t>
        </is>
      </c>
      <c r="I87" s="8" t="n">
        <v>21</v>
      </c>
      <c r="J87" s="9" t="n">
        <v>0.147309</v>
      </c>
      <c r="K87" s="9" t="n">
        <v>2.192308</v>
      </c>
      <c r="L87" s="9" t="n">
        <v>-0.306883</v>
      </c>
      <c r="M87" s="10" t="n">
        <v>32.4386</v>
      </c>
      <c r="N87" s="7" t="n">
        <v>1.58</v>
      </c>
      <c r="O87" s="9" t="n">
        <v>0.8354430379746836</v>
      </c>
      <c r="P87" s="5" t="inlineStr">
        <is>
          <t>NAV jumps implausibly from this fund's own previous figure - treated as a bad reading, not a real move</t>
        </is>
      </c>
      <c r="Q87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88">
      <c r="A88" s="4" t="inlineStr">
        <is>
          <t>GC1</t>
        </is>
      </c>
      <c r="B88" s="5" t="inlineStr">
        <is>
          <t>Glennon Small Companies Limited</t>
        </is>
      </c>
      <c r="C88" s="12" t="inlineStr">
        <is>
          <t>RED</t>
        </is>
      </c>
      <c r="D88" s="7" t="n">
        <v>0.4250000119209289</v>
      </c>
      <c r="E88" s="8" t="n">
        <v>3</v>
      </c>
      <c r="F88" s="7" t="n">
        <v>0.07630000000000001</v>
      </c>
      <c r="G88" s="4" t="inlineStr">
        <is>
          <t>2026-08-27</t>
        </is>
      </c>
      <c r="H88" s="4" t="inlineStr">
        <is>
          <t>Fund's earlier published NTA</t>
        </is>
      </c>
      <c r="I88" s="8" t="n">
        <v>2</v>
      </c>
      <c r="J88" s="9" t="n">
        <v>0.100909</v>
      </c>
      <c r="K88" s="9" t="n">
        <v>4.570118</v>
      </c>
      <c r="L88" s="9" t="n">
        <v>-0.292744</v>
      </c>
      <c r="M88" s="10" t="n">
        <v>12.3978</v>
      </c>
      <c r="N88" s="7" t="n">
        <v>0.71</v>
      </c>
      <c r="O88" s="9" t="n">
        <v>0.8925352112676056</v>
      </c>
      <c r="P88" s="5" t="inlineStr">
        <is>
          <t>NAV jumps implausibly from this fund's own previous figure - treated as a bad reading, not a real move</t>
        </is>
      </c>
      <c r="Q88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89">
      <c r="A89" s="4" t="inlineStr">
        <is>
          <t>HCF</t>
        </is>
      </c>
      <c r="B89" s="5" t="inlineStr">
        <is>
          <t>H&amp;G High Conviction Limited</t>
        </is>
      </c>
      <c r="C89" s="12" t="inlineStr">
        <is>
          <t>RED</t>
        </is>
      </c>
      <c r="D89" s="7" t="n">
        <v>0.0299999993294477</v>
      </c>
      <c r="E89" s="8" t="n">
        <v>3</v>
      </c>
      <c r="F89" s="7" t="n">
        <v>4.12</v>
      </c>
      <c r="G89" s="4" t="inlineStr">
        <is>
          <t>2026-07-31</t>
        </is>
      </c>
      <c r="H89" s="4" t="inlineStr">
        <is>
          <t>Fund's own NTA announcement</t>
        </is>
      </c>
      <c r="I89" s="8" t="n">
        <v>21</v>
      </c>
      <c r="J89" s="9" t="n">
        <v>0.109666</v>
      </c>
      <c r="K89" s="9" t="n">
        <v>-0.992718</v>
      </c>
      <c r="L89" s="9" t="n">
        <v>0.413621</v>
      </c>
      <c r="M89" s="10" t="n">
        <v>-1.7068</v>
      </c>
      <c r="N89" s="7" t="n">
        <v>0.011</v>
      </c>
      <c r="O89" s="9" t="n">
        <v>373.5454545454546</v>
      </c>
      <c r="P89" s="5" t="inlineStr">
        <is>
          <t>NAV jumps implausibly from this fund's own previous figure - treated as a bad reading, not a real move</t>
        </is>
      </c>
      <c r="Q89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90">
      <c r="A90" s="4" t="inlineStr">
        <is>
          <t>KIT</t>
        </is>
      </c>
      <c r="B90" s="5" t="inlineStr">
        <is>
          <t>Kapstream Investment Trust</t>
        </is>
      </c>
      <c r="C90" s="12" t="inlineStr">
        <is>
          <t>RED</t>
        </is>
      </c>
      <c r="D90" s="7" t="n">
        <v>1.794999957084656</v>
      </c>
      <c r="E90" s="8" t="n">
        <v>3</v>
      </c>
      <c r="F90" s="7" t="n">
        <v>17.08</v>
      </c>
      <c r="G90" s="4" t="inlineStr">
        <is>
          <t>2026-08-17</t>
        </is>
      </c>
      <c r="H90" s="4" t="inlineStr">
        <is>
          <t>Fund's own NTA announcement</t>
        </is>
      </c>
      <c r="I90" s="8" t="n">
        <v>10</v>
      </c>
      <c r="J90" s="9" t="n">
        <v>0.033391</v>
      </c>
      <c r="K90" s="9" t="n">
        <v>-0.894906</v>
      </c>
      <c r="L90" s="9" t="n"/>
      <c r="M90" s="10" t="n"/>
      <c r="N90" s="7" t="n">
        <v>2.0095</v>
      </c>
      <c r="O90" s="9" t="n">
        <v>7.499626772829061</v>
      </c>
      <c r="P90" s="5" t="inlineStr">
        <is>
          <t>NAV jumps implausibly from this fund's own previous figure - treated as a bad reading, not a real move</t>
        </is>
      </c>
      <c r="Q90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91">
      <c r="A91" s="4" t="inlineStr">
        <is>
          <t>OEQ</t>
        </is>
      </c>
      <c r="B91" s="5" t="inlineStr">
        <is>
          <t>Orion Equities Limited</t>
        </is>
      </c>
      <c r="C91" s="12" t="inlineStr">
        <is>
          <t>RED</t>
        </is>
      </c>
      <c r="D91" s="7" t="n">
        <v>0.1749999970197677</v>
      </c>
      <c r="E91" s="8" t="n">
        <v>3</v>
      </c>
      <c r="F91" s="7" t="n">
        <v>0.0426</v>
      </c>
      <c r="G91" s="4" t="inlineStr">
        <is>
          <t>2026-07-31</t>
        </is>
      </c>
      <c r="H91" s="4" t="inlineStr">
        <is>
          <t>Fund's own NTA announcement</t>
        </is>
      </c>
      <c r="I91" s="8" t="n">
        <v>21</v>
      </c>
      <c r="J91" s="9" t="n">
        <v>0.400925</v>
      </c>
      <c r="K91" s="9" t="n">
        <v>3.107981</v>
      </c>
      <c r="L91" s="9" t="n">
        <v>-0.481502</v>
      </c>
      <c r="M91" s="10" t="n">
        <v>13.2863</v>
      </c>
      <c r="N91" s="7" t="n">
        <v>0.4083</v>
      </c>
      <c r="O91" s="9" t="n">
        <v>0.8956649522409993</v>
      </c>
      <c r="P91" s="5" t="inlineStr">
        <is>
          <t>NAV jumps implausibly from this fund's own previous figure - treated as a bad reading, not a real move</t>
        </is>
      </c>
      <c r="Q91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92">
      <c r="A92" s="4" t="inlineStr">
        <is>
          <t>REV</t>
        </is>
      </c>
      <c r="B92" s="5" t="inlineStr">
        <is>
          <t>Revolution Private Credit Income Trust</t>
        </is>
      </c>
      <c r="C92" s="12" t="inlineStr">
        <is>
          <t>RED</t>
        </is>
      </c>
      <c r="D92" s="7" t="n">
        <v>2</v>
      </c>
      <c r="E92" s="8" t="n">
        <v>3</v>
      </c>
      <c r="F92" s="7" t="n">
        <v>18.08</v>
      </c>
      <c r="G92" s="4" t="inlineStr">
        <is>
          <t>2026-08-18</t>
        </is>
      </c>
      <c r="H92" s="4" t="inlineStr">
        <is>
          <t>Fund's own NTA announcement</t>
        </is>
      </c>
      <c r="I92" s="8" t="n">
        <v>9</v>
      </c>
      <c r="J92" s="9" t="n">
        <v>0.028016</v>
      </c>
      <c r="K92" s="9" t="n">
        <v>-0.889381</v>
      </c>
      <c r="L92" s="9" t="n"/>
      <c r="M92" s="10" t="n"/>
      <c r="N92" s="7" t="n">
        <v>2.0014</v>
      </c>
      <c r="O92" s="9" t="n">
        <v>8.033676426501449</v>
      </c>
      <c r="P92" s="5" t="inlineStr">
        <is>
          <t>NAV jumps implausibly from this fund's own previous figure - treated as a bad reading, not a real move</t>
        </is>
      </c>
      <c r="Q92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93">
      <c r="A93" s="4" t="inlineStr">
        <is>
          <t>TEK</t>
        </is>
      </c>
      <c r="B93" s="5" t="inlineStr">
        <is>
          <t>Thorney Technologies Ltd</t>
        </is>
      </c>
      <c r="C93" s="12" t="inlineStr">
        <is>
          <t>RED</t>
        </is>
      </c>
      <c r="D93" s="7" t="n">
        <v>0.1049999967217445</v>
      </c>
      <c r="E93" s="8" t="n">
        <v>3</v>
      </c>
      <c r="F93" s="7" t="n">
        <v>2</v>
      </c>
      <c r="G93" s="4" t="inlineStr">
        <is>
          <t>2026-07-31</t>
        </is>
      </c>
      <c r="H93" s="4" t="inlineStr">
        <is>
          <t>Fund's own NTA announcement</t>
        </is>
      </c>
      <c r="I93" s="8" t="n">
        <v>21</v>
      </c>
      <c r="J93" s="9" t="n">
        <v>0.168815</v>
      </c>
      <c r="K93" s="9" t="n">
        <v>-0.9475</v>
      </c>
      <c r="L93" s="9" t="n">
        <v>-0.458923</v>
      </c>
      <c r="M93" s="10" t="n">
        <v>-6.0225</v>
      </c>
      <c r="N93" s="7" t="n">
        <v>0.219</v>
      </c>
      <c r="O93" s="9" t="n">
        <v>8.132420091324201</v>
      </c>
      <c r="P93" s="5" t="inlineStr">
        <is>
          <t>NAV jumps implausibly from this fund's own previous figure - treated as a bad reading, not a real move</t>
        </is>
      </c>
      <c r="Q93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94">
      <c r="A94" s="4" t="inlineStr">
        <is>
          <t>WAR</t>
        </is>
      </c>
      <c r="B94" s="5" t="inlineStr">
        <is>
          <t>WAM Strategic Value Limited</t>
        </is>
      </c>
      <c r="C94" s="12" t="inlineStr">
        <is>
          <t>RED</t>
        </is>
      </c>
      <c r="D94" s="7" t="n">
        <v>1.144999980926514</v>
      </c>
      <c r="E94" s="8" t="n">
        <v>3</v>
      </c>
      <c r="F94" s="7" t="n">
        <v>1.76</v>
      </c>
      <c r="G94" s="4" t="inlineStr">
        <is>
          <t>2026-08-10</t>
        </is>
      </c>
      <c r="H94" s="4" t="inlineStr">
        <is>
          <t>Monthly report</t>
        </is>
      </c>
      <c r="I94" s="8" t="n">
        <v>15</v>
      </c>
      <c r="J94" s="9" t="n">
        <v>0.054775</v>
      </c>
      <c r="K94" s="9" t="n">
        <v>-0.349432</v>
      </c>
      <c r="L94" s="9" t="n">
        <v>-0.146779</v>
      </c>
      <c r="M94" s="10" t="n">
        <v>-3.3659</v>
      </c>
      <c r="N94" s="7" t="n">
        <v>1.2509</v>
      </c>
      <c r="O94" s="9" t="n">
        <v>0.406986969382045</v>
      </c>
      <c r="P94" s="5" t="inlineStr">
        <is>
          <t>NAV jumps implausibly from this fund's own previous figure - treated as a bad reading, not a real move</t>
        </is>
      </c>
      <c r="Q94" s="5" t="inlineStr">
        <is>
          <t>the NAV we hold jumps implausibly from this fund's previous published figure - almost always the parser reading the wrong number off the page. Check the announcement before trusting any discount shown here.</t>
        </is>
      </c>
    </row>
    <row r="95">
      <c r="A95" s="4" t="inlineStr">
        <is>
          <t>IBC</t>
        </is>
      </c>
      <c r="B95" s="5" t="inlineStr">
        <is>
          <t>Ironbark Capital Limited</t>
        </is>
      </c>
      <c r="C95" s="12" t="inlineStr">
        <is>
          <t>RED</t>
        </is>
      </c>
      <c r="D95" s="7" t="n">
        <v>0.4350000023841858</v>
      </c>
      <c r="E95" s="8" t="n">
        <v>3</v>
      </c>
      <c r="F95" s="7" t="n">
        <v>0</v>
      </c>
      <c r="G95" s="4" t="inlineStr">
        <is>
          <t>2026-08-14</t>
        </is>
      </c>
      <c r="H95" s="4" t="inlineStr">
        <is>
          <t>Fund's own NTA announcement</t>
        </is>
      </c>
      <c r="I95" s="8" t="n">
        <v>11</v>
      </c>
      <c r="J95" s="9" t="n">
        <v>0.047401</v>
      </c>
      <c r="K95" s="9" t="n"/>
      <c r="L95" s="9" t="n">
        <v>-0.214946</v>
      </c>
      <c r="M95" s="10" t="n"/>
      <c r="N95" s="7" t="n"/>
      <c r="O95" s="9" t="n"/>
      <c r="P95" s="5" t="inlineStr">
        <is>
          <t>NAV is zero or negative</t>
        </is>
      </c>
      <c r="Q95" s="5" t="inlineStr">
        <is>
          <t>the NAV parsed as zero or negative, which is not a valuation - fix the source reader rather than the output</t>
        </is>
      </c>
    </row>
    <row r="96">
      <c r="A96" s="4" t="inlineStr">
        <is>
          <t>APL</t>
        </is>
      </c>
      <c r="B96" s="5" t="inlineStr">
        <is>
          <t>Antipodes Global Investment Company Ltd</t>
        </is>
      </c>
      <c r="C96" s="12" t="inlineStr">
        <is>
          <t>RED</t>
        </is>
      </c>
      <c r="D96" s="7" t="n">
        <v>0.2649999856948852</v>
      </c>
      <c r="E96" s="8" t="n">
        <v>3</v>
      </c>
      <c r="F96" s="7" t="n">
        <v>1.229665198237885</v>
      </c>
      <c r="G96" s="4" t="inlineStr">
        <is>
          <t>2021-10-31</t>
        </is>
      </c>
      <c r="H96" s="4" t="inlineStr">
        <is>
          <t>ASX monthly report</t>
        </is>
      </c>
      <c r="I96" s="8" t="n">
        <v>1260</v>
      </c>
      <c r="J96" s="9" t="n">
        <v>0.620358</v>
      </c>
      <c r="K96" s="9" t="n">
        <v>-0.784494</v>
      </c>
      <c r="L96" s="9" t="n">
        <v>-0.11738</v>
      </c>
      <c r="M96" s="10" t="n">
        <v>-15.1399</v>
      </c>
      <c r="N96" s="7" t="n">
        <v>1.176633187772926</v>
      </c>
      <c r="O96" s="9" t="n">
        <v>0.04507097965283146</v>
      </c>
      <c r="P96" s="5" t="inlineStr">
        <is>
          <t>NAV is past the age limit for alerting</t>
        </is>
      </c>
      <c r="Q96" s="5" t="inlineStr">
        <is>
          <t>the newest NAV we hold is older than the amber window - re-run the NAV harvest for this fund and check its publication frequency</t>
        </is>
      </c>
    </row>
    <row r="97">
      <c r="A97" s="4" t="inlineStr">
        <is>
          <t>BST</t>
        </is>
      </c>
      <c r="B97" s="5" t="inlineStr">
        <is>
          <t>Barrack St Investments Limited</t>
        </is>
      </c>
      <c r="C97" s="12" t="inlineStr">
        <is>
          <t>RED</t>
        </is>
      </c>
      <c r="D97" s="7" t="n">
        <v>0.3700000047683716</v>
      </c>
      <c r="E97" s="8" t="n">
        <v>3</v>
      </c>
      <c r="F97" s="7" t="n">
        <v>1.29024</v>
      </c>
      <c r="G97" s="4" t="inlineStr">
        <is>
          <t>2019-09-30</t>
        </is>
      </c>
      <c r="H97" s="4" t="inlineStr">
        <is>
          <t>ASX monthly report</t>
        </is>
      </c>
      <c r="I97" s="8" t="n">
        <v>1805</v>
      </c>
      <c r="J97" s="9" t="n">
        <v>1.016717</v>
      </c>
      <c r="K97" s="9" t="n">
        <v>-0.713232</v>
      </c>
      <c r="L97" s="9" t="n">
        <v>-0.193854</v>
      </c>
      <c r="M97" s="10" t="n"/>
      <c r="N97" s="7" t="n">
        <v>1.370967741935484</v>
      </c>
      <c r="O97" s="9" t="n">
        <v>0.0588837647058824</v>
      </c>
      <c r="P97" s="5" t="inlineStr">
        <is>
          <t>NAV is past the age limit for alerting</t>
        </is>
      </c>
      <c r="Q97" s="5" t="inlineStr">
        <is>
          <t>the newest NAV we hold is older than the amber window - re-run the NAV harvest for this fund and check its publication frequency</t>
        </is>
      </c>
    </row>
    <row r="98">
      <c r="A98" s="4" t="inlineStr">
        <is>
          <t>PAF</t>
        </is>
      </c>
      <c r="B98" s="5" t="inlineStr">
        <is>
          <t>PM Capital Asian Opportunities Fund Limited</t>
        </is>
      </c>
      <c r="C98" s="12" t="inlineStr">
        <is>
          <t>RED</t>
        </is>
      </c>
      <c r="D98" s="7" t="n">
        <v>2.559999942779541</v>
      </c>
      <c r="E98" s="8" t="n">
        <v>3</v>
      </c>
      <c r="F98" s="7" t="n">
        <v>1.082080733944954</v>
      </c>
      <c r="G98" s="4" t="inlineStr">
        <is>
          <t>2022-01-31</t>
        </is>
      </c>
      <c r="H98" s="4" t="inlineStr">
        <is>
          <t>ASX monthly report</t>
        </is>
      </c>
      <c r="I98" s="8" t="n">
        <v>1195</v>
      </c>
      <c r="J98" s="9" t="n">
        <v>0.783423</v>
      </c>
      <c r="K98" s="9" t="n">
        <v>1.365812</v>
      </c>
      <c r="L98" s="9" t="n">
        <v>-0.132436</v>
      </c>
      <c r="M98" s="10" t="n">
        <v>20.6766</v>
      </c>
      <c r="N98" s="7" t="n">
        <v>1.033241441441441</v>
      </c>
      <c r="O98" s="9" t="n">
        <v>0.04726803488967544</v>
      </c>
      <c r="P98" s="5" t="inlineStr">
        <is>
          <t>NAV is past the age limit for alerting</t>
        </is>
      </c>
      <c r="Q98" s="5" t="inlineStr">
        <is>
          <t>the newest NAV we hold is older than the amber window - re-run the NAV harvest for this fund and check its publication frequency</t>
        </is>
      </c>
    </row>
    <row r="99">
      <c r="A99" s="4" t="inlineStr">
        <is>
          <t>QRI</t>
        </is>
      </c>
      <c r="B99" s="5" t="inlineStr">
        <is>
          <t>Qualitas Real Estate Income Fund</t>
        </is>
      </c>
      <c r="C99" s="12" t="inlineStr">
        <is>
          <t>RED</t>
        </is>
      </c>
      <c r="D99" s="7" t="n">
        <v>1.534999966621399</v>
      </c>
      <c r="E99" s="8" t="n">
        <v>3</v>
      </c>
      <c r="F99" s="7" t="n">
        <v>1.6002</v>
      </c>
      <c r="G99" s="4" t="inlineStr">
        <is>
          <t>2025-12-31</t>
        </is>
      </c>
      <c r="H99" s="4" t="inlineStr">
        <is>
          <t>ASX monthly report</t>
        </is>
      </c>
      <c r="I99" s="8" t="n">
        <v>173</v>
      </c>
      <c r="J99" s="9" t="n">
        <v>0.122832</v>
      </c>
      <c r="K99" s="9" t="n">
        <v>-0.040745</v>
      </c>
      <c r="L99" s="9" t="n">
        <v>-0.014559</v>
      </c>
      <c r="M99" s="10" t="n"/>
      <c r="N99" s="7" t="n">
        <v>1.6007</v>
      </c>
      <c r="O99" s="9" t="n">
        <v>0.0003123633410382613</v>
      </c>
      <c r="P99" s="5" t="inlineStr">
        <is>
          <t>NAV is past the age limit for alerting</t>
        </is>
      </c>
      <c r="Q99" s="5" t="inlineStr">
        <is>
          <t>the newest NAV we hold is older than the amber window - re-run the NAV harvest for this fund and check its publication frequency</t>
        </is>
      </c>
    </row>
    <row r="100">
      <c r="A100" s="4" t="inlineStr">
        <is>
          <t>AIX</t>
        </is>
      </c>
      <c r="B100" s="5" t="inlineStr">
        <is>
          <t>AI Private Opportunities Trust</t>
        </is>
      </c>
      <c r="C100" s="12" t="inlineStr">
        <is>
          <t>RED</t>
        </is>
      </c>
      <c r="D100" s="7" t="n">
        <v>9.800000190734863</v>
      </c>
      <c r="E100" s="8" t="n">
        <v>3</v>
      </c>
      <c r="F100" s="7" t="n"/>
      <c r="G100" s="4" t="n"/>
      <c r="H100" s="4" t="inlineStr">
        <is>
          <t>Stale historical anchor</t>
        </is>
      </c>
      <c r="I100" s="8" t="n"/>
      <c r="J100" s="9" t="n"/>
      <c r="K100" s="9" t="n"/>
      <c r="L100" s="9" t="n"/>
      <c r="M100" s="10" t="n"/>
      <c r="N100" s="7" t="n"/>
      <c r="O100" s="9" t="n"/>
      <c r="P100" s="5" t="inlineStr">
        <is>
          <t>No NAV from any source</t>
        </is>
      </c>
      <c r="Q100" s="5" t="inlineStr">
        <is>
          <t>no NAV from any source - confirm the fund publishes one, then add its announcement route (Tier 0 harvest / ASX index)</t>
        </is>
      </c>
    </row>
    <row r="101">
      <c r="A101" s="4" t="inlineStr">
        <is>
          <t>ALF</t>
        </is>
      </c>
      <c r="B101" s="5" t="inlineStr">
        <is>
          <t>Australian Leaders Fund Limited</t>
        </is>
      </c>
      <c r="C101" s="12" t="inlineStr">
        <is>
          <t>RED</t>
        </is>
      </c>
      <c r="D101" s="7" t="n">
        <v>1.005</v>
      </c>
      <c r="E101" s="8" t="n">
        <v>2068</v>
      </c>
      <c r="F101" s="7" t="n">
        <v>1.082838235294117</v>
      </c>
      <c r="G101" s="4" t="inlineStr">
        <is>
          <t>2021-01-31</t>
        </is>
      </c>
      <c r="H101" s="4" t="inlineStr">
        <is>
          <t>ASX monthly report</t>
        </is>
      </c>
      <c r="I101" s="8" t="n">
        <v>1455</v>
      </c>
      <c r="J101" s="9" t="n">
        <v>0.350895</v>
      </c>
      <c r="K101" s="9" t="n">
        <v>-0.071884</v>
      </c>
      <c r="L101" s="9" t="n">
        <v>-0.169553</v>
      </c>
      <c r="M101" s="10" t="n"/>
      <c r="N101" s="7" t="n">
        <v>1.094634146341464</v>
      </c>
      <c r="O101" s="9" t="n">
        <v>0.01077612194610507</v>
      </c>
      <c r="P101" s="5" t="inlineStr">
        <is>
          <t>No live price - only a month-end print</t>
        </is>
      </c>
      <c r="Q101" s="5" t="inlineStr">
        <is>
          <t>the live price feed returned nothing for this symbol - verify the Yahoo symbol and re-run; never present the panel price as today's</t>
        </is>
      </c>
    </row>
    <row r="102">
      <c r="A102" s="4" t="inlineStr">
        <is>
          <t>DUI</t>
        </is>
      </c>
      <c r="B102" s="5" t="inlineStr">
        <is>
          <t>Diversified United Investment Limited</t>
        </is>
      </c>
      <c r="C102" s="12" t="inlineStr">
        <is>
          <t>RED</t>
        </is>
      </c>
      <c r="D102" s="7" t="n">
        <v>5</v>
      </c>
      <c r="E102" s="8" t="n">
        <v>183</v>
      </c>
      <c r="F102" s="7" t="n">
        <v>6.14</v>
      </c>
      <c r="G102" s="4" t="inlineStr">
        <is>
          <t>2026-03-31</t>
        </is>
      </c>
      <c r="H102" s="4" t="inlineStr">
        <is>
          <t>ASX monthly report</t>
        </is>
      </c>
      <c r="I102" s="8" t="n">
        <v>109</v>
      </c>
      <c r="J102" s="9" t="n">
        <v>0.115564</v>
      </c>
      <c r="K102" s="9" t="n">
        <v>-0.185668</v>
      </c>
      <c r="L102" s="9" t="n">
        <v>-0.131332</v>
      </c>
      <c r="M102" s="10" t="n"/>
      <c r="N102" s="7" t="n">
        <v>6.47</v>
      </c>
      <c r="O102" s="9" t="n">
        <v>0.0510046367851623</v>
      </c>
      <c r="P102" s="5" t="inlineStr">
        <is>
          <t>No live price - only a month-end print</t>
        </is>
      </c>
      <c r="Q102" s="5" t="inlineStr">
        <is>
          <t>the live price feed returned nothing for this symbol - verify the Yahoo symbol and re-run; never present the panel price as today's</t>
        </is>
      </c>
    </row>
    <row r="103">
      <c r="A103" s="4" t="inlineStr">
        <is>
          <t>PMC</t>
        </is>
      </c>
      <c r="B103" s="5" t="inlineStr">
        <is>
          <t>Platinum Capital Limited</t>
        </is>
      </c>
      <c r="C103" s="12" t="inlineStr">
        <is>
          <t>RED</t>
        </is>
      </c>
      <c r="D103" s="7" t="n">
        <v>1.683</v>
      </c>
      <c r="E103" s="8" t="n">
        <v>334</v>
      </c>
      <c r="F103" s="7" t="n">
        <v>1.6346</v>
      </c>
      <c r="G103" s="4" t="inlineStr">
        <is>
          <t>2025-11-28</t>
        </is>
      </c>
      <c r="H103" s="4" t="inlineStr">
        <is>
          <t>Fund's earlier published NTA</t>
        </is>
      </c>
      <c r="I103" s="8" t="n">
        <v>196</v>
      </c>
      <c r="J103" s="9" t="n">
        <v>0.348123</v>
      </c>
      <c r="K103" s="9" t="n">
        <v>0.02961</v>
      </c>
      <c r="L103" s="9" t="n">
        <v>-0.09821000000000001</v>
      </c>
      <c r="M103" s="10" t="n"/>
      <c r="N103" s="7" t="n">
        <v>1.6334</v>
      </c>
      <c r="O103" s="9" t="n">
        <v>0.0007346638912697992</v>
      </c>
      <c r="P103" s="5" t="inlineStr">
        <is>
          <t>No live price - only a month-end print</t>
        </is>
      </c>
      <c r="Q103" s="5" t="inlineStr">
        <is>
          <t>the live price feed returned nothing for this symbol - verify the Yahoo symbol and re-run; never present the panel price as today's</t>
        </is>
      </c>
    </row>
  </sheetData>
  <autoFilter ref="A5:Q10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0" customWidth="1" min="3" max="3"/>
  </cols>
  <sheetData>
    <row r="1">
      <c r="A1" s="1" t="inlineStr">
        <is>
          <t>Why funds are not green</t>
        </is>
      </c>
    </row>
    <row r="2">
      <c r="A2" s="2" t="inlineStr">
        <is>
          <t>Counts recalculate from the 'ASX funds' tab.</t>
        </is>
      </c>
    </row>
    <row r="4">
      <c r="A4" s="13" t="inlineStr">
        <is>
          <t>Reason</t>
        </is>
      </c>
      <c r="B4" s="13" t="inlineStr">
        <is>
          <t>Funds</t>
        </is>
      </c>
      <c r="C4" s="13" t="inlineStr">
        <is>
          <t>% of all</t>
        </is>
      </c>
    </row>
    <row r="5">
      <c r="A5" s="14" t="inlineStr">
        <is>
          <t>(green - nothing blocking)</t>
        </is>
      </c>
      <c r="B5" s="14">
        <f>COUNTIF('ASX funds'!$P$6:$P$103,"")</f>
        <v/>
      </c>
      <c r="C5" s="15">
        <f>IFERROR(B5/$B$15,0)</f>
        <v/>
      </c>
    </row>
    <row r="6">
      <c r="A6" s="14" t="inlineStr">
        <is>
          <t>Discount is not far enough from its own average to beat the uncertainty in our NAV</t>
        </is>
      </c>
      <c r="B6" s="14">
        <f>COUNTIF('ASX funds'!$P$6:$P$103,$A6)</f>
        <v/>
      </c>
      <c r="C6" s="15">
        <f>IFERROR(B6/$B$15,0)</f>
        <v/>
      </c>
    </row>
    <row r="7">
      <c r="A7" s="14" t="inlineStr">
        <is>
          <t>NAV is estimated forward from an older figure, not published</t>
        </is>
      </c>
      <c r="B7" s="14">
        <f>COUNTIF('ASX funds'!$P$6:$P$103,$A7)</f>
        <v/>
      </c>
      <c r="C7" s="15">
        <f>IFERROR(B7/$B$15,0)</f>
        <v/>
      </c>
    </row>
    <row r="8">
      <c r="A8" s="14" t="inlineStr">
        <is>
          <t>Fewer than 24 months of discount history</t>
        </is>
      </c>
      <c r="B8" s="14">
        <f>COUNTIF('ASX funds'!$P$6:$P$103,$A8)</f>
        <v/>
      </c>
      <c r="C8" s="15">
        <f>IFERROR(B8/$B$15,0)</f>
        <v/>
      </c>
    </row>
    <row r="9">
      <c r="A9" s="14" t="inlineStr">
        <is>
          <t>NAV jumps implausibly from this fund's own previous figure - treated as a bad reading, not a real move</t>
        </is>
      </c>
      <c r="B9" s="14">
        <f>COUNTIF('ASX funds'!$P$6:$P$103,$A9)</f>
        <v/>
      </c>
      <c r="C9" s="15">
        <f>IFERROR(B9/$B$15,0)</f>
        <v/>
      </c>
    </row>
    <row r="10">
      <c r="A10" s="14" t="inlineStr">
        <is>
          <t>Newest NAV we hold is old</t>
        </is>
      </c>
      <c r="B10" s="14">
        <f>COUNTIF('ASX funds'!$P$6:$P$103,$A10)</f>
        <v/>
      </c>
      <c r="C10" s="15">
        <f>IFERROR(B10/$B$15,0)</f>
        <v/>
      </c>
    </row>
    <row r="11">
      <c r="A11" s="14" t="inlineStr">
        <is>
          <t>NAV is past the age limit for alerting</t>
        </is>
      </c>
      <c r="B11" s="14">
        <f>COUNTIF('ASX funds'!$P$6:$P$103,$A11)</f>
        <v/>
      </c>
      <c r="C11" s="15">
        <f>IFERROR(B11/$B$15,0)</f>
        <v/>
      </c>
    </row>
    <row r="12">
      <c r="A12" s="14" t="inlineStr">
        <is>
          <t>No live price - only a month-end print</t>
        </is>
      </c>
      <c r="B12" s="14">
        <f>COUNTIF('ASX funds'!$P$6:$P$103,$A12)</f>
        <v/>
      </c>
      <c r="C12" s="15">
        <f>IFERROR(B12/$B$15,0)</f>
        <v/>
      </c>
    </row>
    <row r="13">
      <c r="A13" s="14" t="inlineStr">
        <is>
          <t>NAV is zero or negative</t>
        </is>
      </c>
      <c r="B13" s="14">
        <f>COUNTIF('ASX funds'!$P$6:$P$103,$A13)</f>
        <v/>
      </c>
      <c r="C13" s="15">
        <f>IFERROR(B13/$B$15,0)</f>
        <v/>
      </c>
    </row>
    <row r="14">
      <c r="A14" s="14" t="inlineStr">
        <is>
          <t>No NAV from any source</t>
        </is>
      </c>
      <c r="B14" s="14">
        <f>COUNTIF('ASX funds'!$P$6:$P$103,$A14)</f>
        <v/>
      </c>
      <c r="C14" s="15">
        <f>IFERROR(B14/$B$15,0)</f>
        <v/>
      </c>
    </row>
    <row r="15">
      <c r="A15" s="16" t="inlineStr">
        <is>
          <t>Total</t>
        </is>
      </c>
      <c r="B15" s="16">
        <f>SUM(B5:B14)</f>
        <v/>
      </c>
    </row>
    <row r="17">
      <c r="A17" s="2" t="inlineStr">
        <is>
          <t>Source: outputs/live_coverage/coverage_audit.csv, generated by the live coverage audit. A fund may have several problems; the one shown is the audit's primary blocking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2026-09-01T04:04:47Z</dcterms:created>
  <dcterms:modified xmlns:dcterms="http://purl.org/dc/terms/" xmlns:xsi="http://www.w3.org/2001/XMLSchema-instance" xsi:type="dcterms:W3CDTF">2026-09-01T04:04:47Z</dcterms:modified>
</cp:coreProperties>
</file>